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V:\DATA MELINDA 2025\TARGET 2025\TARGET SALES\"/>
    </mc:Choice>
  </mc:AlternateContent>
  <xr:revisionPtr revIDLastSave="0" documentId="13_ncr:1_{9C54FC6D-78C9-417B-B78E-D2432A0BC181}" xr6:coauthVersionLast="45" xr6:coauthVersionMax="47" xr10:uidLastSave="{00000000-0000-0000-0000-000000000000}"/>
  <bookViews>
    <workbookView xWindow="-120" yWindow="-120" windowWidth="29040" windowHeight="15720" tabRatio="882" firstSheet="1" activeTab="4" xr2:uid="{00000000-000D-0000-FFFF-FFFF00000000}"/>
  </bookViews>
  <sheets>
    <sheet name="DKI 1" sheetId="72" r:id="rId1"/>
    <sheet name="DKI 2" sheetId="73" r:id="rId2"/>
    <sheet name="JABAR" sheetId="74" r:id="rId3"/>
    <sheet name="JATENG" sheetId="75" r:id="rId4"/>
    <sheet name="JATIM" sheetId="76" r:id="rId5"/>
    <sheet name="BALINUS" sheetId="81" r:id="rId6"/>
    <sheet name="SUMBAGSEL" sheetId="78" r:id="rId7"/>
    <sheet name="SUMBARI" sheetId="79" r:id="rId8"/>
    <sheet name="SUMUT ACEH" sheetId="80" r:id="rId9"/>
    <sheet name="SULAWESI" sheetId="82" r:id="rId10"/>
    <sheet name="KALIMANTAN" sheetId="83" r:id="rId11"/>
    <sheet name="SUM" sheetId="87" r:id="rId12"/>
    <sheet name="NAD" sheetId="88" state="hidden" r:id="rId13"/>
  </sheets>
  <definedNames>
    <definedName name="_xlnm._FilterDatabase" localSheetId="5" hidden="1">BALINUS!$A$5:$K$19</definedName>
    <definedName name="_xlnm._FilterDatabase" localSheetId="0" hidden="1">'DKI 1'!$A$5:$K$29</definedName>
    <definedName name="_xlnm._FilterDatabase" localSheetId="1" hidden="1">'DKI 2'!$A$5:$K$27</definedName>
    <definedName name="_xlnm._FilterDatabase" localSheetId="2" hidden="1">JABAR!$A$5:$K$27</definedName>
    <definedName name="_xlnm._FilterDatabase" localSheetId="3" hidden="1">JATENG!$A$5:$K$30</definedName>
    <definedName name="_xlnm._FilterDatabase" localSheetId="4" hidden="1">JATIM!$A$5:$K$34</definedName>
    <definedName name="_xlnm._FilterDatabase" localSheetId="10" hidden="1">KALIMANTAN!$A$5:$K$20</definedName>
    <definedName name="_xlnm._FilterDatabase" localSheetId="12" hidden="1">NAD!$B$4:$E$38</definedName>
    <definedName name="_xlnm._FilterDatabase" localSheetId="9" hidden="1">SULAWESI!$A$5:$K$21</definedName>
    <definedName name="_xlnm._FilterDatabase" localSheetId="6" hidden="1">SUMBAGSEL!$A$5:$K$24</definedName>
    <definedName name="_xlnm._FilterDatabase" localSheetId="7" hidden="1">SUMBARI!$A$5:$K$21</definedName>
    <definedName name="_xlnm._FilterDatabase" localSheetId="8" hidden="1">'SUMUT ACEH'!$A$5:$K$29</definedName>
    <definedName name="_xlnm.Print_Area" localSheetId="5">BALINUS!$F$1:$K$58</definedName>
    <definedName name="_xlnm.Print_Area" localSheetId="0">'DKI 1'!$F$1:$K$58</definedName>
    <definedName name="_xlnm.Print_Area" localSheetId="1">'DKI 2'!$F$1:$K$56</definedName>
    <definedName name="_xlnm.Print_Area" localSheetId="2">JABAR!$F$1:$K$58</definedName>
    <definedName name="_xlnm.Print_Area" localSheetId="3">JATENG!$F$1:$K$58</definedName>
    <definedName name="_xlnm.Print_Area" localSheetId="4">JATIM!$F$1:$K$58</definedName>
    <definedName name="_xlnm.Print_Area" localSheetId="10">KALIMANTAN!$F$1:$J$58</definedName>
    <definedName name="_xlnm.Print_Area" localSheetId="9">SULAWESI!$F$1:$K$44</definedName>
    <definedName name="_xlnm.Print_Area" localSheetId="11">SUM!$B$1:$P$29</definedName>
    <definedName name="_xlnm.Print_Area" localSheetId="6">SUMBAGSEL!$F$1:$K$58</definedName>
    <definedName name="_xlnm.Print_Area" localSheetId="7">SUMBARI!$F$1:$K$58</definedName>
    <definedName name="_xlnm.Print_Area" localSheetId="8">'SUMUT ACEH'!$F$1:$K$58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9" i="73" l="1"/>
  <c r="I45" i="73"/>
  <c r="I42" i="73"/>
  <c r="I41" i="73"/>
  <c r="J10" i="73" l="1"/>
  <c r="I10" i="73"/>
  <c r="K9" i="73"/>
  <c r="K8" i="73"/>
  <c r="K7" i="73"/>
  <c r="I37" i="73" l="1"/>
  <c r="K10" i="73"/>
  <c r="I47" i="76" l="1"/>
  <c r="I41" i="76"/>
  <c r="I38" i="83" l="1"/>
  <c r="I46" i="75"/>
  <c r="I44" i="75"/>
  <c r="I43" i="75"/>
  <c r="I47" i="72"/>
  <c r="I41" i="72"/>
  <c r="I46" i="72"/>
  <c r="I44" i="72"/>
  <c r="I42" i="72"/>
  <c r="I23" i="74"/>
  <c r="S10" i="87"/>
  <c r="S13" i="87" s="1"/>
  <c r="I23" i="80" l="1"/>
  <c r="G6" i="87" l="1"/>
  <c r="C16" i="87"/>
  <c r="B16" i="87"/>
  <c r="C15" i="87"/>
  <c r="B15" i="87"/>
  <c r="C14" i="87"/>
  <c r="B14" i="87"/>
  <c r="C13" i="87"/>
  <c r="B13" i="87"/>
  <c r="C12" i="87"/>
  <c r="B12" i="87"/>
  <c r="C11" i="87"/>
  <c r="B11" i="87"/>
  <c r="C10" i="87"/>
  <c r="B10" i="87"/>
  <c r="C9" i="87"/>
  <c r="B9" i="87"/>
  <c r="C8" i="87"/>
  <c r="B8" i="87"/>
  <c r="C7" i="87"/>
  <c r="B7" i="87"/>
  <c r="C6" i="87"/>
  <c r="B6" i="87"/>
  <c r="H56" i="83"/>
  <c r="I56" i="83" s="1"/>
  <c r="H55" i="83"/>
  <c r="G55" i="83"/>
  <c r="H54" i="83"/>
  <c r="G54" i="83"/>
  <c r="H53" i="83"/>
  <c r="G53" i="83"/>
  <c r="H52" i="83"/>
  <c r="G52" i="83"/>
  <c r="H51" i="83"/>
  <c r="G51" i="83"/>
  <c r="I47" i="83"/>
  <c r="G47" i="83"/>
  <c r="I46" i="83"/>
  <c r="J16" i="87" s="1"/>
  <c r="G46" i="83"/>
  <c r="G45" i="83"/>
  <c r="I44" i="83"/>
  <c r="G44" i="83"/>
  <c r="I43" i="83"/>
  <c r="I16" i="87" s="1"/>
  <c r="G43" i="83"/>
  <c r="G42" i="83"/>
  <c r="I41" i="83"/>
  <c r="G16" i="87" s="1"/>
  <c r="G41" i="83"/>
  <c r="G40" i="83"/>
  <c r="I39" i="83"/>
  <c r="E16" i="87" s="1"/>
  <c r="G39" i="83"/>
  <c r="G38" i="83"/>
  <c r="J18" i="83"/>
  <c r="I18" i="83"/>
  <c r="K17" i="83"/>
  <c r="K16" i="83"/>
  <c r="J14" i="83"/>
  <c r="I14" i="83"/>
  <c r="K13" i="83"/>
  <c r="K12" i="83"/>
  <c r="K11" i="83"/>
  <c r="J9" i="83"/>
  <c r="I9" i="83"/>
  <c r="K8" i="83"/>
  <c r="K7" i="83"/>
  <c r="H42" i="82"/>
  <c r="G42" i="82"/>
  <c r="H41" i="82"/>
  <c r="G41" i="82"/>
  <c r="H40" i="82"/>
  <c r="G40" i="82"/>
  <c r="H39" i="82"/>
  <c r="G39" i="82"/>
  <c r="H38" i="82"/>
  <c r="G38" i="82"/>
  <c r="H37" i="82"/>
  <c r="G37" i="82"/>
  <c r="G33" i="82"/>
  <c r="G32" i="82"/>
  <c r="G31" i="82"/>
  <c r="I30" i="82"/>
  <c r="G30" i="82"/>
  <c r="I29" i="82"/>
  <c r="I15" i="87" s="1"/>
  <c r="G29" i="82"/>
  <c r="I28" i="82"/>
  <c r="H15" i="87" s="1"/>
  <c r="G28" i="82"/>
  <c r="G27" i="82"/>
  <c r="G26" i="82"/>
  <c r="G25" i="82"/>
  <c r="G24" i="82"/>
  <c r="I33" i="82"/>
  <c r="K17" i="82"/>
  <c r="J15" i="82"/>
  <c r="I15" i="82"/>
  <c r="K14" i="82"/>
  <c r="K13" i="82"/>
  <c r="I26" i="82" s="1"/>
  <c r="F15" i="87" s="1"/>
  <c r="K12" i="82"/>
  <c r="I25" i="82" s="1"/>
  <c r="E15" i="87" s="1"/>
  <c r="J10" i="82"/>
  <c r="I10" i="82"/>
  <c r="K9" i="82"/>
  <c r="K8" i="82"/>
  <c r="K7" i="82"/>
  <c r="H56" i="80"/>
  <c r="G56" i="80"/>
  <c r="H55" i="80"/>
  <c r="G55" i="80"/>
  <c r="H54" i="80"/>
  <c r="G54" i="80"/>
  <c r="H53" i="80"/>
  <c r="G53" i="80"/>
  <c r="H52" i="80"/>
  <c r="G52" i="80"/>
  <c r="H51" i="80"/>
  <c r="G51" i="80"/>
  <c r="I47" i="80"/>
  <c r="G47" i="80"/>
  <c r="I46" i="80"/>
  <c r="J14" i="87" s="1"/>
  <c r="G46" i="80"/>
  <c r="G45" i="80"/>
  <c r="I44" i="80"/>
  <c r="G44" i="80"/>
  <c r="I43" i="80"/>
  <c r="I14" i="87" s="1"/>
  <c r="G43" i="80"/>
  <c r="G42" i="80"/>
  <c r="I41" i="80"/>
  <c r="G14" i="87" s="1"/>
  <c r="G41" i="80"/>
  <c r="G40" i="80"/>
  <c r="G39" i="80"/>
  <c r="G38" i="80"/>
  <c r="J27" i="80"/>
  <c r="I27" i="80"/>
  <c r="K26" i="80"/>
  <c r="K25" i="80"/>
  <c r="J23" i="80"/>
  <c r="K22" i="80"/>
  <c r="K21" i="80"/>
  <c r="K17" i="80"/>
  <c r="J15" i="80"/>
  <c r="I15" i="80"/>
  <c r="K14" i="80"/>
  <c r="K13" i="80"/>
  <c r="J11" i="80"/>
  <c r="I11" i="80"/>
  <c r="K10" i="80"/>
  <c r="K9" i="80"/>
  <c r="K8" i="80"/>
  <c r="K7" i="80"/>
  <c r="H56" i="79"/>
  <c r="I56" i="79" s="1"/>
  <c r="H55" i="79"/>
  <c r="G55" i="79"/>
  <c r="H54" i="79"/>
  <c r="G54" i="79"/>
  <c r="H53" i="79"/>
  <c r="G53" i="79"/>
  <c r="H52" i="79"/>
  <c r="G52" i="79"/>
  <c r="H51" i="79"/>
  <c r="G51" i="79"/>
  <c r="I47" i="79"/>
  <c r="G47" i="79"/>
  <c r="G46" i="79"/>
  <c r="G45" i="79"/>
  <c r="I44" i="79"/>
  <c r="G44" i="79"/>
  <c r="G43" i="79"/>
  <c r="G42" i="79"/>
  <c r="I41" i="79"/>
  <c r="G13" i="87" s="1"/>
  <c r="G41" i="79"/>
  <c r="G40" i="79"/>
  <c r="I39" i="79"/>
  <c r="E13" i="87" s="1"/>
  <c r="G39" i="79"/>
  <c r="I38" i="79"/>
  <c r="D13" i="87" s="1"/>
  <c r="G38" i="79"/>
  <c r="K19" i="79"/>
  <c r="I46" i="79" s="1"/>
  <c r="J13" i="87" s="1"/>
  <c r="K17" i="79"/>
  <c r="J15" i="79"/>
  <c r="I15" i="79"/>
  <c r="K14" i="79"/>
  <c r="K13" i="79"/>
  <c r="J11" i="79"/>
  <c r="I11" i="79"/>
  <c r="K10" i="79"/>
  <c r="I43" i="79" s="1"/>
  <c r="I13" i="87" s="1"/>
  <c r="K9" i="79"/>
  <c r="K8" i="79"/>
  <c r="K7" i="79"/>
  <c r="H56" i="78"/>
  <c r="I56" i="78" s="1"/>
  <c r="H55" i="78"/>
  <c r="G55" i="78"/>
  <c r="H54" i="78"/>
  <c r="G54" i="78"/>
  <c r="H53" i="78"/>
  <c r="G53" i="78"/>
  <c r="H52" i="78"/>
  <c r="G52" i="78"/>
  <c r="H51" i="78"/>
  <c r="G51" i="78"/>
  <c r="I47" i="78"/>
  <c r="G47" i="78"/>
  <c r="G46" i="78"/>
  <c r="G45" i="78"/>
  <c r="I44" i="78"/>
  <c r="G44" i="78"/>
  <c r="G43" i="78"/>
  <c r="I42" i="78"/>
  <c r="H12" i="87" s="1"/>
  <c r="G42" i="78"/>
  <c r="I41" i="78"/>
  <c r="G12" i="87" s="1"/>
  <c r="G41" i="78"/>
  <c r="G40" i="78"/>
  <c r="G39" i="78"/>
  <c r="G38" i="78"/>
  <c r="K22" i="78"/>
  <c r="K20" i="78"/>
  <c r="I46" i="78" s="1"/>
  <c r="J12" i="87" s="1"/>
  <c r="K18" i="78"/>
  <c r="I43" i="78" s="1"/>
  <c r="I12" i="87" s="1"/>
  <c r="J16" i="78"/>
  <c r="I16" i="78"/>
  <c r="K15" i="78"/>
  <c r="K14" i="78"/>
  <c r="K13" i="78"/>
  <c r="K12" i="78"/>
  <c r="J10" i="78"/>
  <c r="I10" i="78"/>
  <c r="K9" i="78"/>
  <c r="K8" i="78"/>
  <c r="K7" i="78"/>
  <c r="H56" i="81"/>
  <c r="I56" i="81" s="1"/>
  <c r="H55" i="81"/>
  <c r="G55" i="81"/>
  <c r="H54" i="81"/>
  <c r="G54" i="81"/>
  <c r="H53" i="81"/>
  <c r="G53" i="81"/>
  <c r="H52" i="81"/>
  <c r="G52" i="81"/>
  <c r="H51" i="81"/>
  <c r="G51" i="81"/>
  <c r="I47" i="81"/>
  <c r="G47" i="81"/>
  <c r="G46" i="81"/>
  <c r="G45" i="81"/>
  <c r="I44" i="81"/>
  <c r="G44" i="81"/>
  <c r="I43" i="81"/>
  <c r="I11" i="87" s="1"/>
  <c r="G43" i="81"/>
  <c r="I42" i="81"/>
  <c r="H11" i="87" s="1"/>
  <c r="G42" i="81"/>
  <c r="I41" i="81"/>
  <c r="G11" i="87" s="1"/>
  <c r="G41" i="81"/>
  <c r="G40" i="81"/>
  <c r="G39" i="81"/>
  <c r="G38" i="81"/>
  <c r="K17" i="81"/>
  <c r="J15" i="81"/>
  <c r="I15" i="81"/>
  <c r="K14" i="81"/>
  <c r="K13" i="81"/>
  <c r="I40" i="81" s="1"/>
  <c r="F11" i="87" s="1"/>
  <c r="K12" i="81"/>
  <c r="I39" i="81" s="1"/>
  <c r="E11" i="87" s="1"/>
  <c r="J10" i="81"/>
  <c r="I10" i="81"/>
  <c r="K9" i="81"/>
  <c r="K8" i="81"/>
  <c r="K7" i="81"/>
  <c r="H56" i="76"/>
  <c r="G56" i="76"/>
  <c r="H55" i="76"/>
  <c r="G55" i="76"/>
  <c r="H54" i="76"/>
  <c r="G54" i="76"/>
  <c r="H53" i="76"/>
  <c r="G53" i="76"/>
  <c r="H52" i="76"/>
  <c r="G52" i="76"/>
  <c r="H51" i="76"/>
  <c r="G51" i="76"/>
  <c r="G47" i="76"/>
  <c r="I46" i="76"/>
  <c r="J10" i="87" s="1"/>
  <c r="G46" i="76"/>
  <c r="G45" i="76"/>
  <c r="I44" i="76"/>
  <c r="G44" i="76"/>
  <c r="I43" i="76"/>
  <c r="I10" i="87" s="1"/>
  <c r="G43" i="76"/>
  <c r="I42" i="76"/>
  <c r="H10" i="87" s="1"/>
  <c r="G42" i="76"/>
  <c r="G41" i="76"/>
  <c r="G40" i="76"/>
  <c r="G39" i="76"/>
  <c r="G38" i="76"/>
  <c r="J30" i="76"/>
  <c r="I30" i="76"/>
  <c r="K29" i="76"/>
  <c r="K28" i="76"/>
  <c r="J26" i="76"/>
  <c r="I26" i="76"/>
  <c r="K25" i="76"/>
  <c r="K24" i="76"/>
  <c r="K23" i="76"/>
  <c r="K19" i="76"/>
  <c r="K17" i="76"/>
  <c r="G10" i="87" s="1"/>
  <c r="J15" i="76"/>
  <c r="I15" i="76"/>
  <c r="K14" i="76"/>
  <c r="K13" i="76"/>
  <c r="K12" i="76"/>
  <c r="J10" i="76"/>
  <c r="I10" i="76"/>
  <c r="K9" i="76"/>
  <c r="K8" i="76"/>
  <c r="K7" i="76"/>
  <c r="H56" i="75"/>
  <c r="G56" i="75"/>
  <c r="H55" i="75"/>
  <c r="G55" i="75"/>
  <c r="H54" i="75"/>
  <c r="G54" i="75"/>
  <c r="H53" i="75"/>
  <c r="G53" i="75"/>
  <c r="H52" i="75"/>
  <c r="G52" i="75"/>
  <c r="H51" i="75"/>
  <c r="G51" i="75"/>
  <c r="I47" i="75"/>
  <c r="G47" i="75"/>
  <c r="J9" i="87"/>
  <c r="G46" i="75"/>
  <c r="G45" i="75"/>
  <c r="G44" i="75"/>
  <c r="I9" i="87"/>
  <c r="G43" i="75"/>
  <c r="G42" i="75"/>
  <c r="I41" i="75"/>
  <c r="G9" i="87" s="1"/>
  <c r="G41" i="75"/>
  <c r="G40" i="75"/>
  <c r="G39" i="75"/>
  <c r="G38" i="75"/>
  <c r="K28" i="75"/>
  <c r="J26" i="75"/>
  <c r="I26" i="75"/>
  <c r="K25" i="75"/>
  <c r="K24" i="75"/>
  <c r="K23" i="75"/>
  <c r="J21" i="75"/>
  <c r="I21" i="75"/>
  <c r="K20" i="75"/>
  <c r="K19" i="75"/>
  <c r="K18" i="75"/>
  <c r="J16" i="75"/>
  <c r="I16" i="75"/>
  <c r="K15" i="75"/>
  <c r="K14" i="75"/>
  <c r="K13" i="75"/>
  <c r="J11" i="75"/>
  <c r="I11" i="75"/>
  <c r="K10" i="75"/>
  <c r="K9" i="75"/>
  <c r="K8" i="75"/>
  <c r="K7" i="75"/>
  <c r="H56" i="74"/>
  <c r="G56" i="74"/>
  <c r="H55" i="74"/>
  <c r="G55" i="74"/>
  <c r="H54" i="74"/>
  <c r="G54" i="74"/>
  <c r="H53" i="74"/>
  <c r="G53" i="74"/>
  <c r="H52" i="74"/>
  <c r="G52" i="74"/>
  <c r="H51" i="74"/>
  <c r="G51" i="74"/>
  <c r="I47" i="74"/>
  <c r="G47" i="74"/>
  <c r="I46" i="74"/>
  <c r="J8" i="87" s="1"/>
  <c r="G46" i="74"/>
  <c r="G45" i="74"/>
  <c r="I44" i="74"/>
  <c r="G44" i="74"/>
  <c r="I43" i="74"/>
  <c r="I8" i="87" s="1"/>
  <c r="G43" i="74"/>
  <c r="G42" i="74"/>
  <c r="I41" i="74"/>
  <c r="G8" i="87" s="1"/>
  <c r="G41" i="74"/>
  <c r="G40" i="74"/>
  <c r="G39" i="74"/>
  <c r="G38" i="74"/>
  <c r="J23" i="74"/>
  <c r="K22" i="74"/>
  <c r="K21" i="74"/>
  <c r="J19" i="74"/>
  <c r="I19" i="74"/>
  <c r="I25" i="74" s="1"/>
  <c r="K18" i="74"/>
  <c r="K17" i="74"/>
  <c r="K16" i="74"/>
  <c r="K12" i="74"/>
  <c r="J10" i="74"/>
  <c r="J14" i="74" s="1"/>
  <c r="I10" i="74"/>
  <c r="I14" i="74" s="1"/>
  <c r="K9" i="74"/>
  <c r="K8" i="74"/>
  <c r="K7" i="74"/>
  <c r="H54" i="73"/>
  <c r="G54" i="73"/>
  <c r="H53" i="73"/>
  <c r="G53" i="73"/>
  <c r="H52" i="73"/>
  <c r="G52" i="73"/>
  <c r="H51" i="73"/>
  <c r="G51" i="73"/>
  <c r="H50" i="73"/>
  <c r="G50" i="73"/>
  <c r="H49" i="73"/>
  <c r="G49" i="73"/>
  <c r="G45" i="73"/>
  <c r="G44" i="73"/>
  <c r="G43" i="73"/>
  <c r="G42" i="73"/>
  <c r="I7" i="87"/>
  <c r="G41" i="73"/>
  <c r="G40" i="73"/>
  <c r="G7" i="87"/>
  <c r="G39" i="73"/>
  <c r="G38" i="73"/>
  <c r="G37" i="73"/>
  <c r="G36" i="73"/>
  <c r="J14" i="73"/>
  <c r="J18" i="73" s="1"/>
  <c r="I14" i="73"/>
  <c r="I18" i="73" s="1"/>
  <c r="K13" i="73"/>
  <c r="K12" i="73"/>
  <c r="K16" i="73"/>
  <c r="J25" i="73"/>
  <c r="J27" i="73" s="1"/>
  <c r="I25" i="73"/>
  <c r="K24" i="73"/>
  <c r="K23" i="73"/>
  <c r="I40" i="73" s="1"/>
  <c r="K22" i="73"/>
  <c r="K21" i="73"/>
  <c r="K20" i="73"/>
  <c r="H56" i="72"/>
  <c r="G56" i="72"/>
  <c r="H55" i="72"/>
  <c r="G55" i="72"/>
  <c r="H54" i="72"/>
  <c r="G54" i="72"/>
  <c r="H53" i="72"/>
  <c r="G53" i="72"/>
  <c r="H52" i="72"/>
  <c r="G52" i="72"/>
  <c r="H51" i="72"/>
  <c r="G51" i="72"/>
  <c r="G47" i="72"/>
  <c r="J6" i="87"/>
  <c r="G46" i="72"/>
  <c r="G45" i="72"/>
  <c r="G44" i="72"/>
  <c r="G43" i="72"/>
  <c r="H6" i="87"/>
  <c r="G42" i="72"/>
  <c r="G41" i="72"/>
  <c r="G40" i="72"/>
  <c r="G39" i="72"/>
  <c r="G38" i="72"/>
  <c r="K27" i="72"/>
  <c r="J25" i="72"/>
  <c r="I25" i="72"/>
  <c r="K24" i="72"/>
  <c r="K23" i="72"/>
  <c r="K22" i="72"/>
  <c r="K21" i="72"/>
  <c r="K17" i="72"/>
  <c r="I43" i="72" s="1"/>
  <c r="I6" i="87" s="1"/>
  <c r="K15" i="72"/>
  <c r="K14" i="72"/>
  <c r="K13" i="72"/>
  <c r="K12" i="72"/>
  <c r="J10" i="72"/>
  <c r="J19" i="72" s="1"/>
  <c r="I10" i="72"/>
  <c r="I19" i="72" s="1"/>
  <c r="K9" i="72"/>
  <c r="K8" i="72"/>
  <c r="K7" i="72"/>
  <c r="I36" i="73" l="1"/>
  <c r="D7" i="87" s="1"/>
  <c r="I38" i="73"/>
  <c r="F7" i="87" s="1"/>
  <c r="I27" i="73"/>
  <c r="K14" i="74"/>
  <c r="I44" i="73"/>
  <c r="J25" i="74"/>
  <c r="K25" i="74" s="1"/>
  <c r="K27" i="73"/>
  <c r="I38" i="81"/>
  <c r="D11" i="87" s="1"/>
  <c r="I38" i="74"/>
  <c r="I40" i="75"/>
  <c r="F9" i="87" s="1"/>
  <c r="I39" i="72"/>
  <c r="E6" i="87" s="1"/>
  <c r="I42" i="75"/>
  <c r="H9" i="87" s="1"/>
  <c r="I30" i="75"/>
  <c r="I38" i="75"/>
  <c r="D9" i="87" s="1"/>
  <c r="I39" i="75"/>
  <c r="E9" i="87" s="1"/>
  <c r="J30" i="75"/>
  <c r="N9" i="87" s="1"/>
  <c r="I38" i="72"/>
  <c r="D6" i="87" s="1"/>
  <c r="I40" i="72"/>
  <c r="F6" i="87" s="1"/>
  <c r="J27" i="74"/>
  <c r="I29" i="72"/>
  <c r="I21" i="82"/>
  <c r="I38" i="82"/>
  <c r="K18" i="83"/>
  <c r="I54" i="79"/>
  <c r="I39" i="78"/>
  <c r="E12" i="87" s="1"/>
  <c r="I40" i="74"/>
  <c r="F8" i="87" s="1"/>
  <c r="I54" i="80"/>
  <c r="I54" i="83"/>
  <c r="H7" i="87"/>
  <c r="I40" i="76"/>
  <c r="F10" i="87" s="1"/>
  <c r="I55" i="78"/>
  <c r="I52" i="79"/>
  <c r="I40" i="82"/>
  <c r="I52" i="81"/>
  <c r="I42" i="82"/>
  <c r="K16" i="78"/>
  <c r="I55" i="79"/>
  <c r="K14" i="83"/>
  <c r="I41" i="82"/>
  <c r="I39" i="80"/>
  <c r="E14" i="87" s="1"/>
  <c r="K27" i="80"/>
  <c r="I40" i="79"/>
  <c r="F13" i="87" s="1"/>
  <c r="I53" i="78"/>
  <c r="I46" i="81"/>
  <c r="J11" i="87" s="1"/>
  <c r="K15" i="81"/>
  <c r="I54" i="81"/>
  <c r="K10" i="76"/>
  <c r="K15" i="76"/>
  <c r="J32" i="76"/>
  <c r="I53" i="76"/>
  <c r="I55" i="75"/>
  <c r="I54" i="72"/>
  <c r="K23" i="80"/>
  <c r="G48" i="83"/>
  <c r="H57" i="83"/>
  <c r="I51" i="83"/>
  <c r="I55" i="83"/>
  <c r="I42" i="83"/>
  <c r="H16" i="87" s="1"/>
  <c r="K9" i="83"/>
  <c r="I53" i="83"/>
  <c r="J20" i="83"/>
  <c r="N16" i="87" s="1"/>
  <c r="I40" i="83"/>
  <c r="F16" i="87" s="1"/>
  <c r="I52" i="83"/>
  <c r="D16" i="87"/>
  <c r="I20" i="83"/>
  <c r="G57" i="83"/>
  <c r="I24" i="82"/>
  <c r="D15" i="87" s="1"/>
  <c r="K15" i="82"/>
  <c r="K10" i="82"/>
  <c r="I39" i="82"/>
  <c r="K19" i="82"/>
  <c r="G34" i="82"/>
  <c r="G43" i="82"/>
  <c r="H43" i="82"/>
  <c r="J21" i="82"/>
  <c r="N15" i="87" s="1"/>
  <c r="I27" i="82"/>
  <c r="G15" i="87" s="1"/>
  <c r="G17" i="87" s="1"/>
  <c r="I32" i="82"/>
  <c r="J15" i="87" s="1"/>
  <c r="I37" i="82"/>
  <c r="I40" i="80"/>
  <c r="F14" i="87" s="1"/>
  <c r="K15" i="80"/>
  <c r="K11" i="80"/>
  <c r="I52" i="80"/>
  <c r="I56" i="80"/>
  <c r="I55" i="80"/>
  <c r="J19" i="80"/>
  <c r="J29" i="80" s="1"/>
  <c r="N14" i="87" s="1"/>
  <c r="G48" i="80"/>
  <c r="H57" i="80"/>
  <c r="I38" i="80"/>
  <c r="D14" i="87" s="1"/>
  <c r="I42" i="80"/>
  <c r="H14" i="87" s="1"/>
  <c r="I53" i="80"/>
  <c r="I51" i="80"/>
  <c r="G57" i="80"/>
  <c r="I19" i="80"/>
  <c r="K15" i="79"/>
  <c r="I53" i="79"/>
  <c r="I42" i="79"/>
  <c r="H13" i="87" s="1"/>
  <c r="I21" i="79"/>
  <c r="G48" i="79"/>
  <c r="G57" i="79"/>
  <c r="J21" i="79"/>
  <c r="N13" i="87" s="1"/>
  <c r="H57" i="79"/>
  <c r="K11" i="79"/>
  <c r="I51" i="79"/>
  <c r="I52" i="78"/>
  <c r="H57" i="78"/>
  <c r="I38" i="78"/>
  <c r="G48" i="78"/>
  <c r="G57" i="78"/>
  <c r="I40" i="78"/>
  <c r="F12" i="87" s="1"/>
  <c r="I51" i="78"/>
  <c r="I24" i="78"/>
  <c r="J24" i="78"/>
  <c r="N12" i="87" s="1"/>
  <c r="I54" i="78"/>
  <c r="K10" i="78"/>
  <c r="K30" i="76"/>
  <c r="I55" i="76"/>
  <c r="I38" i="76"/>
  <c r="D10" i="87" s="1"/>
  <c r="K23" i="74"/>
  <c r="I51" i="74"/>
  <c r="I55" i="74"/>
  <c r="H57" i="81"/>
  <c r="J19" i="81"/>
  <c r="N11" i="87" s="1"/>
  <c r="I53" i="81"/>
  <c r="I19" i="81"/>
  <c r="I55" i="81"/>
  <c r="G48" i="81"/>
  <c r="I51" i="81"/>
  <c r="G57" i="81"/>
  <c r="K10" i="81"/>
  <c r="I53" i="74"/>
  <c r="I54" i="73"/>
  <c r="I52" i="73"/>
  <c r="G57" i="76"/>
  <c r="H57" i="76"/>
  <c r="I54" i="76"/>
  <c r="I39" i="76"/>
  <c r="E10" i="87" s="1"/>
  <c r="I52" i="76"/>
  <c r="I56" i="76"/>
  <c r="K26" i="76"/>
  <c r="G48" i="76"/>
  <c r="J21" i="76"/>
  <c r="I21" i="76"/>
  <c r="I32" i="76"/>
  <c r="I51" i="76"/>
  <c r="I56" i="75"/>
  <c r="I53" i="75"/>
  <c r="G48" i="75"/>
  <c r="I54" i="75"/>
  <c r="K11" i="75"/>
  <c r="K26" i="75"/>
  <c r="K21" i="75"/>
  <c r="K16" i="75"/>
  <c r="G57" i="75"/>
  <c r="H57" i="75"/>
  <c r="I52" i="75"/>
  <c r="I51" i="75"/>
  <c r="I52" i="74"/>
  <c r="I56" i="74"/>
  <c r="H57" i="74"/>
  <c r="K10" i="74"/>
  <c r="G57" i="74"/>
  <c r="I42" i="74"/>
  <c r="H8" i="87" s="1"/>
  <c r="I39" i="74"/>
  <c r="E8" i="87" s="1"/>
  <c r="G48" i="74"/>
  <c r="I27" i="74"/>
  <c r="K19" i="74"/>
  <c r="I54" i="74"/>
  <c r="K14" i="73"/>
  <c r="I53" i="73"/>
  <c r="E7" i="87"/>
  <c r="F26" i="87"/>
  <c r="I51" i="73"/>
  <c r="G55" i="73"/>
  <c r="H55" i="73"/>
  <c r="D28" i="87"/>
  <c r="I50" i="73"/>
  <c r="F28" i="87"/>
  <c r="D25" i="87"/>
  <c r="F25" i="87"/>
  <c r="G46" i="73"/>
  <c r="K25" i="73"/>
  <c r="D23" i="87"/>
  <c r="D27" i="87"/>
  <c r="I49" i="73"/>
  <c r="F24" i="87"/>
  <c r="I17" i="87"/>
  <c r="F23" i="87"/>
  <c r="I52" i="72"/>
  <c r="G48" i="72"/>
  <c r="I55" i="72"/>
  <c r="K25" i="72"/>
  <c r="J29" i="72"/>
  <c r="N6" i="87" s="1"/>
  <c r="K19" i="72"/>
  <c r="K10" i="72"/>
  <c r="D24" i="87"/>
  <c r="F27" i="87"/>
  <c r="I56" i="72"/>
  <c r="I53" i="72"/>
  <c r="I51" i="72"/>
  <c r="G57" i="72"/>
  <c r="D26" i="87"/>
  <c r="H57" i="72"/>
  <c r="I46" i="73" l="1"/>
  <c r="J7" i="87"/>
  <c r="I23" i="87"/>
  <c r="J23" i="87" s="1"/>
  <c r="K30" i="75"/>
  <c r="N8" i="87"/>
  <c r="K27" i="74"/>
  <c r="K11" i="87"/>
  <c r="O11" i="87" s="1"/>
  <c r="J34" i="76"/>
  <c r="N10" i="87" s="1"/>
  <c r="H58" i="81"/>
  <c r="I48" i="81"/>
  <c r="J17" i="87"/>
  <c r="H44" i="82"/>
  <c r="H58" i="83"/>
  <c r="H58" i="79"/>
  <c r="K13" i="87"/>
  <c r="O13" i="87" s="1"/>
  <c r="I48" i="78"/>
  <c r="I57" i="83"/>
  <c r="I58" i="83" s="1"/>
  <c r="K20" i="83"/>
  <c r="K16" i="87"/>
  <c r="O16" i="87" s="1"/>
  <c r="I48" i="83"/>
  <c r="I43" i="82"/>
  <c r="I44" i="82" s="1"/>
  <c r="K21" i="82"/>
  <c r="I34" i="82"/>
  <c r="K15" i="87"/>
  <c r="O15" i="87" s="1"/>
  <c r="K14" i="87"/>
  <c r="O14" i="87" s="1"/>
  <c r="I48" i="80"/>
  <c r="H58" i="80"/>
  <c r="I57" i="80"/>
  <c r="I58" i="80" s="1"/>
  <c r="I29" i="80"/>
  <c r="K29" i="80" s="1"/>
  <c r="K19" i="80"/>
  <c r="H17" i="87"/>
  <c r="I57" i="79"/>
  <c r="I58" i="79" s="1"/>
  <c r="K21" i="79"/>
  <c r="I48" i="79"/>
  <c r="D12" i="87"/>
  <c r="K12" i="87" s="1"/>
  <c r="O12" i="87" s="1"/>
  <c r="H58" i="78"/>
  <c r="I57" i="78"/>
  <c r="I58" i="78" s="1"/>
  <c r="K24" i="78"/>
  <c r="F17" i="87"/>
  <c r="I57" i="81"/>
  <c r="I58" i="81" s="1"/>
  <c r="K19" i="81"/>
  <c r="I57" i="76"/>
  <c r="I58" i="76" s="1"/>
  <c r="N7" i="87"/>
  <c r="H56" i="73"/>
  <c r="K10" i="87"/>
  <c r="K21" i="76"/>
  <c r="I48" i="76"/>
  <c r="H58" i="76"/>
  <c r="K32" i="76"/>
  <c r="I34" i="76"/>
  <c r="K9" i="87"/>
  <c r="O9" i="87" s="1"/>
  <c r="H58" i="75"/>
  <c r="I48" i="75"/>
  <c r="I57" i="75"/>
  <c r="I58" i="75" s="1"/>
  <c r="I57" i="74"/>
  <c r="I58" i="74" s="1"/>
  <c r="I48" i="74"/>
  <c r="D8" i="87"/>
  <c r="K8" i="87" s="1"/>
  <c r="H58" i="74"/>
  <c r="E17" i="87"/>
  <c r="K18" i="73"/>
  <c r="G25" i="87"/>
  <c r="I26" i="87"/>
  <c r="J26" i="87" s="1"/>
  <c r="G27" i="87"/>
  <c r="G28" i="87"/>
  <c r="G23" i="87"/>
  <c r="I25" i="87"/>
  <c r="J25" i="87" s="1"/>
  <c r="K7" i="87"/>
  <c r="I55" i="73"/>
  <c r="I56" i="73" s="1"/>
  <c r="I28" i="87"/>
  <c r="J28" i="87" s="1"/>
  <c r="I24" i="87"/>
  <c r="J24" i="87" s="1"/>
  <c r="K29" i="72"/>
  <c r="G24" i="87"/>
  <c r="I48" i="72"/>
  <c r="G26" i="87"/>
  <c r="F29" i="87"/>
  <c r="H58" i="72"/>
  <c r="K6" i="87"/>
  <c r="D29" i="87"/>
  <c r="I27" i="87"/>
  <c r="J27" i="87" s="1"/>
  <c r="I57" i="72"/>
  <c r="I58" i="72" s="1"/>
  <c r="O8" i="87" l="1"/>
  <c r="O10" i="87"/>
  <c r="K34" i="76"/>
  <c r="O7" i="87"/>
  <c r="N17" i="87"/>
  <c r="D17" i="87"/>
  <c r="G29" i="87"/>
  <c r="I29" i="87"/>
  <c r="J29" i="87" s="1"/>
  <c r="K17" i="87"/>
  <c r="O6" i="87"/>
  <c r="D18" i="87" l="1"/>
  <c r="L6" i="87"/>
  <c r="O17" i="87"/>
  <c r="S16" i="87" s="1"/>
  <c r="L17" i="87"/>
  <c r="L16" i="87"/>
  <c r="L15" i="87"/>
  <c r="L14" i="87"/>
  <c r="L13" i="87"/>
  <c r="L12" i="87"/>
  <c r="L11" i="87"/>
  <c r="L10" i="87"/>
  <c r="L9" i="87"/>
  <c r="L8" i="87"/>
  <c r="L7" i="87"/>
  <c r="J18" i="87"/>
  <c r="I18" i="87"/>
  <c r="F18" i="87"/>
  <c r="E18" i="87"/>
  <c r="H18" i="87"/>
  <c r="G18" i="87"/>
  <c r="P16" i="87" l="1"/>
  <c r="P15" i="87"/>
  <c r="P14" i="87"/>
  <c r="P13" i="87"/>
  <c r="P12" i="87"/>
  <c r="P11" i="87"/>
  <c r="P10" i="87"/>
  <c r="P9" i="87"/>
  <c r="P8" i="87"/>
  <c r="P7" i="87"/>
  <c r="P17" i="87"/>
  <c r="N18" i="87"/>
  <c r="P6" i="87"/>
</calcChain>
</file>

<file path=xl/sharedStrings.xml><?xml version="1.0" encoding="utf-8"?>
<sst xmlns="http://schemas.openxmlformats.org/spreadsheetml/2006/main" count="1614" uniqueCount="381">
  <si>
    <t>DIVISI
RAYON</t>
  </si>
  <si>
    <t>STATUS
SF</t>
  </si>
  <si>
    <r>
      <rPr>
        <b/>
        <sz val="11"/>
        <color theme="0"/>
        <rFont val="Cambria"/>
        <family val="1"/>
      </rPr>
      <t xml:space="preserve">KODE RAYON
</t>
    </r>
    <r>
      <rPr>
        <b/>
        <i/>
        <sz val="10"/>
        <color theme="0"/>
        <rFont val="Cambria"/>
        <family val="1"/>
      </rPr>
      <t>(div + level + rayon)</t>
    </r>
  </si>
  <si>
    <t>LEVEL</t>
  </si>
  <si>
    <t>NAMA SALES FORCE</t>
  </si>
  <si>
    <t>TARGET</t>
  </si>
  <si>
    <t>.</t>
  </si>
  <si>
    <t>UTM</t>
  </si>
  <si>
    <t>PS TERISI</t>
  </si>
  <si>
    <t>UTM JKB</t>
  </si>
  <si>
    <t>PS</t>
  </si>
  <si>
    <t>Wahyu Restu Agung</t>
  </si>
  <si>
    <t>UTM JKSP</t>
  </si>
  <si>
    <t>SPM</t>
  </si>
  <si>
    <t>PS VACANT</t>
  </si>
  <si>
    <t>DM VACANT</t>
  </si>
  <si>
    <t>UTM DM DKI 1</t>
  </si>
  <si>
    <t>DM</t>
  </si>
  <si>
    <t>MR. X</t>
  </si>
  <si>
    <t>PMT</t>
  </si>
  <si>
    <t>DM TERISI</t>
  </si>
  <si>
    <t>PRM</t>
  </si>
  <si>
    <t>UTM TGR 1</t>
  </si>
  <si>
    <t>PNC</t>
  </si>
  <si>
    <t>RSM TERISI</t>
  </si>
  <si>
    <t>UTM TGR 2</t>
  </si>
  <si>
    <t>COMBO UTM-SPM</t>
  </si>
  <si>
    <t>COMBO UTM-SPM-PMT</t>
  </si>
  <si>
    <t>COMBO DM PNK (UTM-SPM-PMT)</t>
  </si>
  <si>
    <t>COMBO UTM-SPM-PRM-PNC</t>
  </si>
  <si>
    <t>COMBO PRM-PNC</t>
  </si>
  <si>
    <t>BCO TERISI</t>
  </si>
  <si>
    <t>RSM</t>
  </si>
  <si>
    <t>COMBO ALL DIV</t>
  </si>
  <si>
    <t>SPM JKB</t>
  </si>
  <si>
    <t>SPM JKSP</t>
  </si>
  <si>
    <t>Titus Daniel Christian</t>
  </si>
  <si>
    <t>SPM TGR</t>
  </si>
  <si>
    <t>Mr. X</t>
  </si>
  <si>
    <t>SPM DM DKI 1</t>
  </si>
  <si>
    <t>ANDI JEN G PUTRA</t>
  </si>
  <si>
    <t>PMT JKB</t>
  </si>
  <si>
    <t>Ex. Muhamad Zainul Umam</t>
  </si>
  <si>
    <t>PMT JKSP</t>
  </si>
  <si>
    <t>PMT TGR</t>
  </si>
  <si>
    <t>Bari Raharjo</t>
  </si>
  <si>
    <t>PMT DM DKI 1</t>
  </si>
  <si>
    <t>COMBO RSM JAKBAN 2</t>
  </si>
  <si>
    <t>WAHYU PURNOMO</t>
  </si>
  <si>
    <t>AM</t>
  </si>
  <si>
    <t>ARI DONI</t>
  </si>
  <si>
    <t>BCO DKI 1</t>
  </si>
  <si>
    <t>BCO</t>
  </si>
  <si>
    <t>RIALDI AGUSTIAN</t>
  </si>
  <si>
    <t>DIVISI RAYON</t>
  </si>
  <si>
    <t>JUMLAH RAYON</t>
  </si>
  <si>
    <t>TOTAL</t>
  </si>
  <si>
    <t>TERISI</t>
  </si>
  <si>
    <t>VACANT</t>
  </si>
  <si>
    <t>SUB BCO</t>
  </si>
  <si>
    <t>UTM JKTU</t>
  </si>
  <si>
    <t>Renita Anggraini</t>
  </si>
  <si>
    <t>UTM BKS 1</t>
  </si>
  <si>
    <t>Andes Tiara Kusuma</t>
  </si>
  <si>
    <t>UTM BKS 2</t>
  </si>
  <si>
    <t>COMBO BGR (UTM-SPM)</t>
  </si>
  <si>
    <t>Nur Annissa Dwisari</t>
  </si>
  <si>
    <t>COMBO DM JAKSIGOR</t>
  </si>
  <si>
    <t>TRI HANDOKO</t>
  </si>
  <si>
    <t>COMBO DM BABEL (ALL DIV)</t>
  </si>
  <si>
    <t>SPM JKTU</t>
  </si>
  <si>
    <t>SPM BKS</t>
  </si>
  <si>
    <t>Raphael Moses Tambunan</t>
  </si>
  <si>
    <t>COMBO DPK (UTM-SPM)</t>
  </si>
  <si>
    <t>Wirawan Krishna Artedi</t>
  </si>
  <si>
    <t>COMBO DM JAKSIPOK</t>
  </si>
  <si>
    <t>PMT JKTI</t>
  </si>
  <si>
    <t>Abramsyah Ali Reza</t>
  </si>
  <si>
    <t>PMT DM DKI 2</t>
  </si>
  <si>
    <t>AGUS SUNARTO</t>
  </si>
  <si>
    <t>COMBO RSM JAKSIBODE</t>
  </si>
  <si>
    <t>ARIEF SETIAWAN</t>
  </si>
  <si>
    <t>BCO DKI 2</t>
  </si>
  <si>
    <t>M. IQBAL GAFFAR</t>
  </si>
  <si>
    <t>UTM BDG 1</t>
  </si>
  <si>
    <t>Rafsanjani Dimyati</t>
  </si>
  <si>
    <t>UTM BDG 2</t>
  </si>
  <si>
    <t>COMBO TSK (UTM-SPM)</t>
  </si>
  <si>
    <t>Ex. Hajar Jabaludin</t>
  </si>
  <si>
    <t>COMBO DM JABAR 1</t>
  </si>
  <si>
    <t>TITO AJI SANTOSO</t>
  </si>
  <si>
    <t>SPM BDG 1</t>
  </si>
  <si>
    <t>SPM BDG 2</t>
  </si>
  <si>
    <t>COMBO CRB (UTM-SPM)</t>
  </si>
  <si>
    <t>Putri Salsabillatuseha Syafii</t>
  </si>
  <si>
    <t>COMBO DM JABAR 2</t>
  </si>
  <si>
    <t>AHMAD MASHUDI</t>
  </si>
  <si>
    <t>PMT BDG 1</t>
  </si>
  <si>
    <t>PMT BDG 2</t>
  </si>
  <si>
    <t>PMT DM JABAR</t>
  </si>
  <si>
    <t>AE</t>
  </si>
  <si>
    <t>BCO JABAR</t>
  </si>
  <si>
    <t>ALEK IRUN SETIARUN</t>
  </si>
  <si>
    <t>UTM SMG 1</t>
  </si>
  <si>
    <t>Fawzy Praditia Zunanda</t>
  </si>
  <si>
    <t>UTM SMG 2</t>
  </si>
  <si>
    <t>Fella Arum Septyvita</t>
  </si>
  <si>
    <t>SPM SMG</t>
  </si>
  <si>
    <t>COMBO TGL (UTM-SPM)</t>
  </si>
  <si>
    <t>Fadilla Rahma Fauziah</t>
  </si>
  <si>
    <t>COMBO DM SMG</t>
  </si>
  <si>
    <t>BELLA OVILIA</t>
  </si>
  <si>
    <t>UTM JGJ 1</t>
  </si>
  <si>
    <t xml:space="preserve">Aril Geovanni Saemani </t>
  </si>
  <si>
    <t>UTM JGJ 2</t>
  </si>
  <si>
    <t>SPM JGJ</t>
  </si>
  <si>
    <t>Ex. Ferdian Adi Pratama</t>
  </si>
  <si>
    <t>COMBO DM JGJ</t>
  </si>
  <si>
    <t>ANDREW BASKORO</t>
  </si>
  <si>
    <t>UTM SOL</t>
  </si>
  <si>
    <t>Seika Reka Kurniasih</t>
  </si>
  <si>
    <t>SPM SOL</t>
  </si>
  <si>
    <t>Fahrudin Rifa'i</t>
  </si>
  <si>
    <t>COMBO DM SOLO</t>
  </si>
  <si>
    <t>MUHAMMAD YANU FERDIANTO</t>
  </si>
  <si>
    <t>PMT SMG</t>
  </si>
  <si>
    <t>R Drajat Heppy Radityo</t>
  </si>
  <si>
    <t>PMT JGJ</t>
  </si>
  <si>
    <t>PMT DM JATENG</t>
  </si>
  <si>
    <t>VICA ALMIA</t>
  </si>
  <si>
    <t>ANANDA RIO ALIF PRADANA, S.Pd</t>
  </si>
  <si>
    <t>BCO JATENG</t>
  </si>
  <si>
    <t>KUSNADI SOETARDJO</t>
  </si>
  <si>
    <t>UTM SBU 1</t>
  </si>
  <si>
    <t>UTM SBU 2</t>
  </si>
  <si>
    <t>Fildzah Nazihah Aufarina, S.Sos</t>
  </si>
  <si>
    <t>UTM SBS 2</t>
  </si>
  <si>
    <t>UTM DM JATIM 1</t>
  </si>
  <si>
    <t>TITIE LIANTINI</t>
  </si>
  <si>
    <t>UTM SBS 1</t>
  </si>
  <si>
    <t>Assidiq Zidane Iwansyah</t>
  </si>
  <si>
    <t>UTM MLG 1</t>
  </si>
  <si>
    <t>UTM MLG 2</t>
  </si>
  <si>
    <t>UTM DM JATIM 2</t>
  </si>
  <si>
    <t>CALISA TUZZAKATTA</t>
  </si>
  <si>
    <t>REMBULAN SEKAR EXAZIERAYANDA</t>
  </si>
  <si>
    <t>SPM SBY 1</t>
  </si>
  <si>
    <t>SPM SBY 2</t>
  </si>
  <si>
    <t>Citraresmi Widyarini</t>
  </si>
  <si>
    <t>SPM MLG</t>
  </si>
  <si>
    <t>SPM DM JATIM</t>
  </si>
  <si>
    <t>DEDE IRAWAN</t>
  </si>
  <si>
    <t>Rextio Axell Arifien</t>
  </si>
  <si>
    <t>PMT MLG</t>
  </si>
  <si>
    <t>PMT DM JATIM</t>
  </si>
  <si>
    <t>GLORIA FEBRINA MAHARANI .I., SE</t>
  </si>
  <si>
    <t>SEPTIAN HADI</t>
  </si>
  <si>
    <t>ABD. MUHIS</t>
  </si>
  <si>
    <t>BCO JATIM</t>
  </si>
  <si>
    <t>MARTINUS DENNY TERSIANTO</t>
  </si>
  <si>
    <t>UTM DPS 1</t>
  </si>
  <si>
    <t>UTM DPS 2</t>
  </si>
  <si>
    <t>Ni Putu Andiyani</t>
  </si>
  <si>
    <t>SPM DPS</t>
  </si>
  <si>
    <t>COMBO NTB (ALL DIV)</t>
  </si>
  <si>
    <t>Agus Muliadi</t>
  </si>
  <si>
    <t>COMBO DM BALINUS 1</t>
  </si>
  <si>
    <t>EX. CALISA TUZZAKATTA</t>
  </si>
  <si>
    <t>Ex. William Rosmansyah HS</t>
  </si>
  <si>
    <t>COMBO NTT (ALL DIV)</t>
  </si>
  <si>
    <t>COMBO DM BALINUS 2</t>
  </si>
  <si>
    <t>SUB BCO BALI NUSRA</t>
  </si>
  <si>
    <t>HENDRY KURNIAWAN</t>
  </si>
  <si>
    <t>SPM LMP</t>
  </si>
  <si>
    <t>COMBO DM LMP</t>
  </si>
  <si>
    <t>ANA MARDIA</t>
  </si>
  <si>
    <t>UTM PLB 1</t>
  </si>
  <si>
    <t>Mochtar Azni Marlani</t>
  </si>
  <si>
    <t>UTM PLB 2</t>
  </si>
  <si>
    <t>Yansen</t>
  </si>
  <si>
    <t>SPM PLB</t>
  </si>
  <si>
    <t>Achmad Syukri</t>
  </si>
  <si>
    <t>COMBO JMB (UTM-SPM-PMT)</t>
  </si>
  <si>
    <t>COMBO DM PLB</t>
  </si>
  <si>
    <t>EX. EVIANA ARIYANI, AMKEP</t>
  </si>
  <si>
    <t>PMT LMP</t>
  </si>
  <si>
    <t>Elfi Yanti</t>
  </si>
  <si>
    <t>PMT PLB</t>
  </si>
  <si>
    <t>Ridwan</t>
  </si>
  <si>
    <t>COMBO BKL (ALL DIV)</t>
  </si>
  <si>
    <t>Siska Mardianti</t>
  </si>
  <si>
    <t>SUB BCO SUMBAGSEL</t>
  </si>
  <si>
    <t>COMBO PKU 1 (UTM-SPM)</t>
  </si>
  <si>
    <t>Salma Zaytunil Adha</t>
  </si>
  <si>
    <t>COMBO PKU 2 (UTM-SPM)</t>
  </si>
  <si>
    <t>Randa Andika Pratama</t>
  </si>
  <si>
    <t>DIANTINI SETIA UTAMI</t>
  </si>
  <si>
    <t>PMT PKU</t>
  </si>
  <si>
    <t>PMT PDG</t>
  </si>
  <si>
    <t>Dedi Sofendi</t>
  </si>
  <si>
    <t>COMBO PDG (UTM-SPM)</t>
  </si>
  <si>
    <t>Ulfa Mawarriyani</t>
  </si>
  <si>
    <t>COMBO BKTT (UTM-SPM-PMT)</t>
  </si>
  <si>
    <t>Muldi Septira</t>
  </si>
  <si>
    <t>OKMAL DINI</t>
  </si>
  <si>
    <t>COMBO DM BTM (ALL DIV)</t>
  </si>
  <si>
    <t>ADITYA PERMADI</t>
  </si>
  <si>
    <t>SUB BCO SUMBARI</t>
  </si>
  <si>
    <t>UTM MDN 1</t>
  </si>
  <si>
    <t>Fadilah Ramadani Harahap</t>
  </si>
  <si>
    <t>UTM MDN 2</t>
  </si>
  <si>
    <t>Gilang Azhari</t>
  </si>
  <si>
    <t>UTM MDN 3</t>
  </si>
  <si>
    <t>M Khairul Fahmi Sadly</t>
  </si>
  <si>
    <t>Shela Sasta Fiana</t>
  </si>
  <si>
    <t>BUNGA FITRIANI</t>
  </si>
  <si>
    <t>SPM MDN 1</t>
  </si>
  <si>
    <t>Ex. Tia Lestari</t>
  </si>
  <si>
    <t>SPM MDN 2</t>
  </si>
  <si>
    <t>EX. BUNGA FITRIANI</t>
  </si>
  <si>
    <t>Supandi Maulana</t>
  </si>
  <si>
    <t>PMT ACH</t>
  </si>
  <si>
    <t>PMT DM SUMUT</t>
  </si>
  <si>
    <t>DICKY ARIE TARIGAN, SKM</t>
  </si>
  <si>
    <t>COMBO ACH 1 (UTM-SPM)</t>
  </si>
  <si>
    <t>Jumadil Rani</t>
  </si>
  <si>
    <t>COMBO ACH 2 (UTM-SPM)</t>
  </si>
  <si>
    <t>Muhammad Irsyadi Qathnizar</t>
  </si>
  <si>
    <t>COMBO DM ACEH</t>
  </si>
  <si>
    <t>ISMAIL. AMD</t>
  </si>
  <si>
    <t>BCO SUMUT ACEH</t>
  </si>
  <si>
    <t>KURNIAWAN</t>
  </si>
  <si>
    <t>UTM MKS 1</t>
  </si>
  <si>
    <t>Yuliati, SE</t>
  </si>
  <si>
    <t>UTM MKS 2</t>
  </si>
  <si>
    <t>Farhan Fahrezzy</t>
  </si>
  <si>
    <t>SPM MKS</t>
  </si>
  <si>
    <t>Indra Salim</t>
  </si>
  <si>
    <t>COMBO KDI (ALL DIV)</t>
  </si>
  <si>
    <t>Rusdi T</t>
  </si>
  <si>
    <t>COMBO DM SULAWESI 1</t>
  </si>
  <si>
    <t>HARDY</t>
  </si>
  <si>
    <t>Abd Rahman HM</t>
  </si>
  <si>
    <t>COMBO AMBON (ALL DIV)</t>
  </si>
  <si>
    <t>COMBO DM SULAWESI 2</t>
  </si>
  <si>
    <t>BCO SULAWESI</t>
  </si>
  <si>
    <t>GERALDUS YOMAREKA PUTRAKA</t>
  </si>
  <si>
    <t>COMBO BJM (UTM-SPM)</t>
  </si>
  <si>
    <t>COMBO SMD (UTM-SPM)</t>
  </si>
  <si>
    <t>Dedy Putra Pasaribu</t>
  </si>
  <si>
    <t>COMBO BPP (UTM-SPM)</t>
  </si>
  <si>
    <t>Dian Puji Susanti Aswalestari</t>
  </si>
  <si>
    <t>NANA FITRIYAH</t>
  </si>
  <si>
    <t>PMT KALTIM</t>
  </si>
  <si>
    <t>Ex. Mukhammad Faisal Ardiyansah</t>
  </si>
  <si>
    <t>PMT DM KALSELTIM</t>
  </si>
  <si>
    <t>GT RIDHO PRASETYA</t>
  </si>
  <si>
    <t>SUB BCO KALIMANTAN</t>
  </si>
  <si>
    <t>RINI RUSTIYAWATI</t>
  </si>
  <si>
    <t>WILAYAH</t>
  </si>
  <si>
    <t>HEAD SALES</t>
  </si>
  <si>
    <t>COMBO
UTM-SPM</t>
  </si>
  <si>
    <t>COMBO
UTM-SPM-
PMT</t>
  </si>
  <si>
    <t>COMBO
ALL DIV</t>
  </si>
  <si>
    <t>%</t>
  </si>
  <si>
    <t>TOTAL TARGET
GENERAL SALES
MARKETING MANAGER
(GSMM)</t>
  </si>
  <si>
    <t>ISMARIA HANDRIANI</t>
  </si>
  <si>
    <t>SALES FORCE</t>
  </si>
  <si>
    <t>GRAND TOTAL</t>
  </si>
  <si>
    <t>AE TERISI</t>
  </si>
  <si>
    <t>AE VACANT</t>
  </si>
  <si>
    <t>AM TERISI</t>
  </si>
  <si>
    <t>AM VACANT</t>
  </si>
  <si>
    <t>Sales Tender Dr. Ade Putri</t>
  </si>
  <si>
    <t>COMBO AM DPS (PRM-PNC)</t>
  </si>
  <si>
    <t>UTM SOL TENDER</t>
  </si>
  <si>
    <t>TOTAL TARGET
(TANPA PNC)</t>
  </si>
  <si>
    <t>TOTAL TARGET
(DENGAN PNC)</t>
  </si>
  <si>
    <r>
      <t>PRODUCT SPECIALIST</t>
    </r>
    <r>
      <rPr>
        <sz val="10"/>
        <color theme="1"/>
        <rFont val="Cambria"/>
        <family val="1"/>
        <scheme val="major"/>
      </rPr>
      <t xml:space="preserve"> (PS)</t>
    </r>
  </si>
  <si>
    <r>
      <t>ACCOUNT EXECUTIVE</t>
    </r>
    <r>
      <rPr>
        <sz val="10"/>
        <color theme="1"/>
        <rFont val="Cambria"/>
        <family val="1"/>
        <scheme val="major"/>
      </rPr>
      <t xml:space="preserve"> (AE)</t>
    </r>
  </si>
  <si>
    <r>
      <t>ACCOUNT MANAGER</t>
    </r>
    <r>
      <rPr>
        <sz val="10"/>
        <color theme="1"/>
        <rFont val="Cambria"/>
        <family val="1"/>
        <scheme val="major"/>
      </rPr>
      <t xml:space="preserve"> (AM)</t>
    </r>
  </si>
  <si>
    <r>
      <t>DISTRICT MANAGER</t>
    </r>
    <r>
      <rPr>
        <sz val="10"/>
        <color theme="1"/>
        <rFont val="Cambria"/>
        <family val="1"/>
        <scheme val="major"/>
      </rPr>
      <t xml:space="preserve"> (DM)</t>
    </r>
  </si>
  <si>
    <r>
      <t>REGIONAL SALES MANAGER</t>
    </r>
    <r>
      <rPr>
        <sz val="10"/>
        <color theme="1"/>
        <rFont val="Cambria"/>
        <family val="1"/>
        <scheme val="major"/>
      </rPr>
      <t xml:space="preserve"> (RSM)</t>
    </r>
  </si>
  <si>
    <r>
      <t>BUSINESS CONTROL OFFICER</t>
    </r>
    <r>
      <rPr>
        <sz val="10"/>
        <color theme="1"/>
        <rFont val="Cambria"/>
        <family val="1"/>
        <scheme val="major"/>
      </rPr>
      <t xml:space="preserve"> (BCO)</t>
    </r>
  </si>
  <si>
    <t>TARGET
IN VALUE</t>
  </si>
  <si>
    <t>Ex. Khairuddin</t>
  </si>
  <si>
    <t>EX. ASEP SAEPUL MILAH S.SI</t>
  </si>
  <si>
    <t>Panggah Budi Hermawan</t>
  </si>
  <si>
    <t>Shanti Puspitasari</t>
  </si>
  <si>
    <t>Ex. Ilham Jufandi</t>
  </si>
  <si>
    <t>Ex. Astria Raprana</t>
  </si>
  <si>
    <t>ASTRIA RAPRANA</t>
  </si>
  <si>
    <t>Eko Wahyu Utomo</t>
  </si>
  <si>
    <t>COMBO AM SUMUT ACEH (PRM-PNC)</t>
  </si>
  <si>
    <t>TOTAL
TARGET</t>
  </si>
  <si>
    <t>TARGET
IN UNIT (TW)</t>
  </si>
  <si>
    <t>DIVISI
INC</t>
  </si>
  <si>
    <t>PMT BODE</t>
  </si>
  <si>
    <t>COMBO AM JATENG (PRM-PNC)</t>
  </si>
  <si>
    <t>PMT SBY</t>
  </si>
  <si>
    <t>PMT DPS</t>
  </si>
  <si>
    <t>UTM LMP</t>
  </si>
  <si>
    <t>UTM MDN 4</t>
  </si>
  <si>
    <t>UTM DM SUMUT</t>
  </si>
  <si>
    <t>PMT BJM</t>
  </si>
  <si>
    <t>Ex. Arrayza Fautsar Aldamus</t>
  </si>
  <si>
    <t>PENDI GUNAWAN THANG</t>
  </si>
  <si>
    <t>EX. MUH HASBI HASAIRIN, SE</t>
  </si>
  <si>
    <t>JANGAN DI HAPUS</t>
  </si>
  <si>
    <t>RSM VACANT</t>
  </si>
  <si>
    <t>BCO VACANT</t>
  </si>
  <si>
    <t>PMT MKS</t>
  </si>
  <si>
    <t>COMBO KALSEL (PRM-PNC)</t>
  </si>
  <si>
    <t>Ex. Gina Anggraini</t>
  </si>
  <si>
    <t>COMBO KALTIM (PRM-PNC)</t>
  </si>
  <si>
    <t>COMBO DM KALSEL</t>
  </si>
  <si>
    <t>COMBO DM KALTIM</t>
  </si>
  <si>
    <t>BCO JAWA BARAT</t>
  </si>
  <si>
    <t>BCO JAWA TENGAH</t>
  </si>
  <si>
    <t>BCO JAWA TIMUR</t>
  </si>
  <si>
    <t>BCO KALIMANTAN</t>
  </si>
  <si>
    <t>Azis Permana</t>
  </si>
  <si>
    <t>COMBO RSM JABAR 1</t>
  </si>
  <si>
    <t>COMBO RSM JABAR 2</t>
  </si>
  <si>
    <t>COMBO RSM JATIM 1</t>
  </si>
  <si>
    <t>COMBO RSM JATIM 2</t>
  </si>
  <si>
    <t xml:space="preserve">Ex. Ika Rahmawati </t>
  </si>
  <si>
    <t>Devinta Agnes Hapsari</t>
  </si>
  <si>
    <t>Haris Galih Wardana</t>
  </si>
  <si>
    <t>Teddy Tristyanto</t>
  </si>
  <si>
    <t>Ni Ketut Krisna Dewi Pratidina</t>
  </si>
  <si>
    <t>EX. DALAS</t>
  </si>
  <si>
    <t>COMBO AM SUMSELA (PRM-PNC)</t>
  </si>
  <si>
    <t>COMBO DM SUMBARI 1</t>
  </si>
  <si>
    <t>COMBO DM SUMBARI 2</t>
  </si>
  <si>
    <t>COMBO DM SUMBARI 3 (PRM-PNC)</t>
  </si>
  <si>
    <t>SPM DM SUMUT</t>
  </si>
  <si>
    <t>COMBO RSM SUMUT ACEH</t>
  </si>
  <si>
    <t>COMBO AM MKS (PRM-PNC)</t>
  </si>
  <si>
    <t>COMBO DM MATEGO (ALL DIV)</t>
  </si>
  <si>
    <t>Sri Ratna Novia</t>
  </si>
  <si>
    <t>Putu Nila Anggraeni</t>
  </si>
  <si>
    <t>Riyan Tina</t>
  </si>
  <si>
    <t>PMT MDN</t>
  </si>
  <si>
    <t>EX. SITI AISYAH E (vacum)</t>
  </si>
  <si>
    <t>Ex. Azis Permana (vacum)</t>
  </si>
  <si>
    <t>Ex. Yudi Dwi Hermawan (vacum)</t>
  </si>
  <si>
    <t>SITI AISYAH E</t>
  </si>
  <si>
    <t>COMBO DKI 2 (PRM-PNC)</t>
  </si>
  <si>
    <t>Wahyu Mirza Syahputra</t>
  </si>
  <si>
    <t>EX. WAHYU MIRZA SYAHPUTRA</t>
  </si>
  <si>
    <t>Riyadi Tri</t>
  </si>
  <si>
    <t>EX. WAHYU AGUSTINUS SITORUS</t>
  </si>
  <si>
    <t>Ex. Hazreza Getarcita Atthoriq</t>
  </si>
  <si>
    <t>PMT JOGLO</t>
  </si>
  <si>
    <t>Ex. Ricky Fernando</t>
  </si>
  <si>
    <t>Ex. Hendro Prawira Tobing</t>
  </si>
  <si>
    <t>COMBO AM JATIM 1 (PRM-PNC)</t>
  </si>
  <si>
    <t>COMBO AM DKI 1 (PRM-PNC)</t>
  </si>
  <si>
    <t>COMBO JABAR (PRM-PNC)</t>
  </si>
  <si>
    <t>Azi Wahyudi</t>
  </si>
  <si>
    <t>COMBO AM JATIM 2 (PRM-PNC)</t>
  </si>
  <si>
    <t>UPDATE SF</t>
  </si>
  <si>
    <t>Hajar Jabaludin</t>
  </si>
  <si>
    <t>Muhammad Sandi</t>
  </si>
  <si>
    <t>TARGET SALES FEBRUARI 2025</t>
  </si>
  <si>
    <t>RANGKUMAN TARGET SALES NASIONAL - FEBRUARI 2025</t>
  </si>
  <si>
    <t>EX. HANSEN</t>
  </si>
  <si>
    <t>Apriani Listi Lindia</t>
  </si>
  <si>
    <t>DJUMAILAH KAMADJAJA</t>
  </si>
  <si>
    <t>Rengganis Kusuma Dewi</t>
  </si>
  <si>
    <t>Refa Aqmar Aulia</t>
  </si>
  <si>
    <t>Raudatul Madina</t>
  </si>
  <si>
    <t>Ex. Novi Andayani</t>
  </si>
  <si>
    <t>Robby Prihma Septianto</t>
  </si>
  <si>
    <t>MUTASI</t>
  </si>
  <si>
    <t>Ex. Rahmat Wahyudiono B.R.</t>
  </si>
  <si>
    <t>Ex. Idad Sembada</t>
  </si>
  <si>
    <t>Ex. Luthfi Harpatoni</t>
  </si>
  <si>
    <t>NUR ABDUL HAQ</t>
  </si>
  <si>
    <t>Ex. Teddy Tristyanto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</si>
</sst>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_-&quot;Rp&quot;* #,##0.00_-;\-&quot;Rp&quot;* #,##0.00_-;_-&quot;Rp&quot;* &quot;-&quot;??_-;_-@_-"/>
    <numFmt numFmtId="167" formatCode="_-* #,##0.00_-;\-* #,##0.00_-;_-* &quot;-&quot;??_-;_-@_-"/>
    <numFmt numFmtId="168" formatCode="_(&quot;Rp&quot;* #,##0_);_(&quot;Rp&quot;* \(#,##0\);_(&quot;Rp&quot;* &quot;-&quot;_);_(@_)"/>
    <numFmt numFmtId="169" formatCode="#,##0,"/>
    <numFmt numFmtId="170" formatCode="#,##0_ ;\-#,##0\ "/>
    <numFmt numFmtId="171" formatCode="_-&quot;Rp&quot;* #,##0_-;\-&quot;Rp&quot;* #,##0_-;_-&quot;Rp&quot;* &quot;-&quot;??_-;_-@_-"/>
    <numFmt numFmtId="172" formatCode="_-* #,##0_-;\-* #,##0_-;_-* &quot;-&quot;??_-;_-@_-"/>
  </numFmts>
  <fonts count="45">
    <font>
      <sz val="11"/>
      <color theme="1"/>
      <name val="Calibri"/>
      <charset val="1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name val="Cambria"/>
      <family val="1"/>
      <scheme val="major"/>
    </font>
    <font>
      <b/>
      <sz val="18"/>
      <color rgb="FF000000"/>
      <name val="Cambria"/>
      <family val="1"/>
    </font>
    <font>
      <sz val="9"/>
      <color theme="0"/>
      <name val="Cambria"/>
      <family val="1"/>
      <scheme val="major"/>
    </font>
    <font>
      <b/>
      <sz val="11"/>
      <color theme="0"/>
      <name val="Cambria"/>
      <family val="1"/>
    </font>
    <font>
      <sz val="9"/>
      <color theme="1"/>
      <name val="Cambria"/>
      <family val="1"/>
      <scheme val="major"/>
    </font>
    <font>
      <sz val="9"/>
      <name val="Cambria"/>
      <family val="1"/>
      <scheme val="major"/>
    </font>
    <font>
      <sz val="10"/>
      <color theme="1"/>
      <name val="Cambria"/>
      <family val="1"/>
    </font>
    <font>
      <b/>
      <sz val="1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sz val="10"/>
      <name val="Cambria"/>
      <family val="1"/>
    </font>
    <font>
      <b/>
      <sz val="10"/>
      <name val="Cambria"/>
      <family val="1"/>
    </font>
    <font>
      <b/>
      <sz val="10"/>
      <color theme="1"/>
      <name val="Cambria"/>
      <family val="1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sz val="10"/>
      <color rgb="FF000000"/>
      <name val="Arial"/>
      <family val="2"/>
    </font>
    <font>
      <sz val="8"/>
      <color rgb="FF000000"/>
      <name val="Draft 12cpi"/>
      <charset val="134"/>
    </font>
    <font>
      <b/>
      <sz val="14"/>
      <color rgb="FF000000"/>
      <name val="Arial"/>
      <family val="2"/>
    </font>
    <font>
      <b/>
      <i/>
      <sz val="10"/>
      <color theme="0"/>
      <name val="Cambria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mbria"/>
      <family val="1"/>
      <scheme val="major"/>
    </font>
    <font>
      <sz val="10"/>
      <color rgb="FFFF0000"/>
      <name val="Cambria"/>
      <family val="1"/>
    </font>
    <font>
      <b/>
      <sz val="10"/>
      <color rgb="FFFF0000"/>
      <name val="Cambria"/>
      <family val="1"/>
    </font>
    <font>
      <b/>
      <sz val="11"/>
      <color theme="0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-0.24994659260841701"/>
      </left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5" tint="-0.24994659260841701"/>
      </top>
      <bottom/>
      <diagonal/>
    </border>
  </borders>
  <cellStyleXfs count="242">
    <xf numFmtId="0" fontId="0" fillId="0" borderId="0"/>
    <xf numFmtId="167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36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3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27" fillId="0" borderId="0">
      <alignment vertical="top"/>
      <protection locked="0"/>
    </xf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4" fontId="24" fillId="0" borderId="0" applyFont="0" applyFill="0" applyBorder="0" applyAlignment="0" applyProtection="0"/>
    <xf numFmtId="168" fontId="36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4" fillId="0" borderId="0"/>
    <xf numFmtId="0" fontId="36" fillId="0" borderId="0"/>
    <xf numFmtId="0" fontId="27" fillId="0" borderId="0">
      <protection locked="0"/>
    </xf>
    <xf numFmtId="0" fontId="24" fillId="0" borderId="0"/>
    <xf numFmtId="0" fontId="36" fillId="0" borderId="0"/>
    <xf numFmtId="0" fontId="29" fillId="0" borderId="0">
      <protection locked="0"/>
    </xf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4" fillId="0" borderId="0"/>
    <xf numFmtId="0" fontId="29" fillId="0" borderId="0">
      <alignment vertical="center"/>
    </xf>
    <xf numFmtId="0" fontId="24" fillId="0" borderId="0"/>
    <xf numFmtId="0" fontId="24" fillId="0" borderId="0"/>
    <xf numFmtId="0" fontId="36" fillId="0" borderId="0"/>
    <xf numFmtId="0" fontId="27" fillId="0" borderId="0">
      <protection locked="0"/>
    </xf>
    <xf numFmtId="0" fontId="36" fillId="0" borderId="0"/>
    <xf numFmtId="0" fontId="25" fillId="0" borderId="0"/>
    <xf numFmtId="0" fontId="25" fillId="0" borderId="0"/>
    <xf numFmtId="0" fontId="25" fillId="0" borderId="0"/>
    <xf numFmtId="0" fontId="36" fillId="0" borderId="0"/>
    <xf numFmtId="0" fontId="24" fillId="0" borderId="0"/>
    <xf numFmtId="0" fontId="24" fillId="0" borderId="0"/>
    <xf numFmtId="0" fontId="36" fillId="0" borderId="0"/>
    <xf numFmtId="0" fontId="25" fillId="0" borderId="0"/>
    <xf numFmtId="0" fontId="29" fillId="0" borderId="0">
      <alignment vertical="center"/>
    </xf>
    <xf numFmtId="0" fontId="25" fillId="0" borderId="0"/>
    <xf numFmtId="0" fontId="27" fillId="0" borderId="0">
      <protection locked="0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36" fillId="0" borderId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4" fillId="0" borderId="0"/>
    <xf numFmtId="0" fontId="29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7" fillId="0" borderId="0"/>
    <xf numFmtId="0" fontId="36" fillId="0" borderId="0"/>
    <xf numFmtId="0" fontId="36" fillId="0" borderId="0"/>
    <xf numFmtId="0" fontId="36" fillId="0" borderId="0"/>
    <xf numFmtId="9" fontId="2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0" fillId="0" borderId="0">
      <alignment horizontal="left" vertical="top"/>
    </xf>
    <xf numFmtId="0" fontId="30" fillId="0" borderId="0">
      <alignment horizontal="left" vertical="center"/>
    </xf>
    <xf numFmtId="0" fontId="30" fillId="0" borderId="0">
      <alignment horizontal="right" vertical="center"/>
    </xf>
    <xf numFmtId="0" fontId="30" fillId="0" borderId="0">
      <alignment horizontal="left" vertical="center"/>
    </xf>
    <xf numFmtId="0" fontId="30" fillId="0" borderId="0">
      <alignment horizontal="left" vertical="top"/>
    </xf>
    <xf numFmtId="0" fontId="30" fillId="0" borderId="0">
      <alignment horizontal="center" vertical="top"/>
    </xf>
    <xf numFmtId="0" fontId="31" fillId="0" borderId="0">
      <alignment horizontal="center" vertical="top"/>
    </xf>
    <xf numFmtId="0" fontId="32" fillId="0" borderId="0">
      <alignment horizontal="right" vertical="top"/>
    </xf>
    <xf numFmtId="0" fontId="30" fillId="0" borderId="0">
      <alignment horizontal="right" vertical="top"/>
    </xf>
    <xf numFmtId="0" fontId="30" fillId="0" borderId="0">
      <alignment horizontal="left" vertical="top"/>
    </xf>
    <xf numFmtId="0" fontId="32" fillId="0" borderId="0">
      <alignment horizontal="right" vertical="top"/>
    </xf>
    <xf numFmtId="0" fontId="30" fillId="0" borderId="0">
      <alignment horizontal="left" vertical="top"/>
    </xf>
    <xf numFmtId="0" fontId="33" fillId="0" borderId="0">
      <alignment horizontal="left" vertical="center"/>
    </xf>
    <xf numFmtId="0" fontId="33" fillId="0" borderId="0">
      <alignment horizontal="center" vertical="center"/>
    </xf>
    <xf numFmtId="0" fontId="33" fillId="0" borderId="0">
      <alignment horizontal="right" vertical="center"/>
    </xf>
    <xf numFmtId="0" fontId="34" fillId="0" borderId="0">
      <alignment horizontal="left" vertical="center"/>
    </xf>
    <xf numFmtId="0" fontId="32" fillId="0" borderId="0">
      <alignment horizontal="right" vertical="center"/>
    </xf>
    <xf numFmtId="0" fontId="30" fillId="0" borderId="0">
      <alignment horizontal="left" vertical="top"/>
    </xf>
    <xf numFmtId="167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4" fontId="27" fillId="0" borderId="0">
      <alignment vertical="top"/>
      <protection locked="0"/>
    </xf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2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9" fontId="3" fillId="0" borderId="0" xfId="3" applyFont="1" applyAlignment="1">
      <alignment horizontal="center" vertical="center"/>
    </xf>
    <xf numFmtId="167" fontId="5" fillId="2" borderId="2" xfId="1" applyFont="1" applyFill="1" applyBorder="1" applyAlignment="1">
      <alignment horizontal="center" vertical="center"/>
    </xf>
    <xf numFmtId="167" fontId="5" fillId="0" borderId="6" xfId="1" applyFont="1" applyBorder="1" applyAlignment="1">
      <alignment horizontal="center" vertical="center"/>
    </xf>
    <xf numFmtId="167" fontId="5" fillId="0" borderId="2" xfId="1" applyFont="1" applyBorder="1" applyAlignment="1">
      <alignment horizontal="center" vertical="center"/>
    </xf>
    <xf numFmtId="169" fontId="3" fillId="0" borderId="2" xfId="2" applyNumberFormat="1" applyFont="1" applyBorder="1" applyAlignment="1">
      <alignment horizontal="center" vertical="center"/>
    </xf>
    <xf numFmtId="167" fontId="5" fillId="2" borderId="6" xfId="1" applyFont="1" applyFill="1" applyBorder="1" applyAlignment="1">
      <alignment horizontal="center" vertical="center" wrapText="1"/>
    </xf>
    <xf numFmtId="169" fontId="5" fillId="2" borderId="2" xfId="2" applyNumberFormat="1" applyFont="1" applyFill="1" applyBorder="1" applyAlignment="1">
      <alignment horizontal="center" vertical="center"/>
    </xf>
    <xf numFmtId="9" fontId="5" fillId="3" borderId="2" xfId="3" applyFont="1" applyFill="1" applyBorder="1" applyAlignment="1">
      <alignment horizontal="center" vertical="center"/>
    </xf>
    <xf numFmtId="9" fontId="5" fillId="2" borderId="2" xfId="3" applyFont="1" applyFill="1" applyBorder="1" applyAlignment="1">
      <alignment horizontal="center" vertical="center"/>
    </xf>
    <xf numFmtId="170" fontId="5" fillId="0" borderId="2" xfId="1" applyNumberFormat="1" applyFont="1" applyBorder="1" applyAlignment="1">
      <alignment horizontal="center" vertical="center"/>
    </xf>
    <xf numFmtId="170" fontId="3" fillId="0" borderId="2" xfId="1" applyNumberFormat="1" applyFont="1" applyBorder="1" applyAlignment="1">
      <alignment horizontal="center" vertical="center"/>
    </xf>
    <xf numFmtId="9" fontId="3" fillId="0" borderId="2" xfId="3" applyFont="1" applyBorder="1" applyAlignment="1">
      <alignment horizontal="center" vertical="center"/>
    </xf>
    <xf numFmtId="170" fontId="5" fillId="2" borderId="2" xfId="1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 wrapText="1"/>
    </xf>
    <xf numFmtId="9" fontId="5" fillId="2" borderId="3" xfId="3" applyFont="1" applyFill="1" applyBorder="1" applyAlignment="1">
      <alignment horizontal="center" vertical="center" wrapText="1"/>
    </xf>
    <xf numFmtId="167" fontId="6" fillId="2" borderId="2" xfId="1" applyFont="1" applyFill="1" applyBorder="1" applyAlignment="1">
      <alignment horizontal="center" vertical="center"/>
    </xf>
    <xf numFmtId="9" fontId="6" fillId="2" borderId="2" xfId="3" applyFont="1" applyFill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/>
    </xf>
    <xf numFmtId="9" fontId="7" fillId="0" borderId="2" xfId="3" applyFont="1" applyBorder="1" applyAlignment="1">
      <alignment horizontal="center" vertical="center"/>
    </xf>
    <xf numFmtId="170" fontId="6" fillId="2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1" fontId="0" fillId="0" borderId="0" xfId="2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165" fontId="0" fillId="4" borderId="0" xfId="4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165" fontId="0" fillId="0" borderId="0" xfId="4" applyFont="1" applyAlignment="1">
      <alignment vertical="center"/>
    </xf>
    <xf numFmtId="165" fontId="13" fillId="0" borderId="14" xfId="4" applyFont="1" applyFill="1" applyBorder="1" applyAlignment="1" applyProtection="1">
      <alignment horizontal="center" vertical="center"/>
    </xf>
    <xf numFmtId="165" fontId="8" fillId="0" borderId="15" xfId="4" applyFont="1" applyBorder="1" applyAlignment="1" applyProtection="1">
      <alignment horizontal="center" vertical="center"/>
    </xf>
    <xf numFmtId="165" fontId="8" fillId="0" borderId="15" xfId="4" applyFont="1" applyBorder="1" applyAlignment="1" applyProtection="1">
      <alignment horizontal="left" vertical="center"/>
    </xf>
    <xf numFmtId="165" fontId="3" fillId="0" borderId="15" xfId="4" applyFont="1" applyBorder="1" applyAlignment="1" applyProtection="1">
      <alignment horizontal="center" vertical="center"/>
    </xf>
    <xf numFmtId="165" fontId="3" fillId="0" borderId="15" xfId="4" applyFont="1" applyBorder="1" applyAlignment="1" applyProtection="1">
      <alignment horizontal="left" vertical="center"/>
    </xf>
    <xf numFmtId="165" fontId="14" fillId="0" borderId="15" xfId="4" applyFont="1" applyBorder="1" applyAlignment="1" applyProtection="1">
      <alignment horizontal="center" vertical="center"/>
    </xf>
    <xf numFmtId="165" fontId="14" fillId="4" borderId="15" xfId="4" applyFont="1" applyFill="1" applyBorder="1" applyAlignment="1" applyProtection="1">
      <alignment horizontal="left" vertical="center"/>
    </xf>
    <xf numFmtId="0" fontId="13" fillId="0" borderId="14" xfId="0" applyFont="1" applyBorder="1" applyAlignment="1">
      <alignment horizontal="center" vertical="center"/>
    </xf>
    <xf numFmtId="165" fontId="15" fillId="7" borderId="15" xfId="4" applyFont="1" applyFill="1" applyBorder="1" applyAlignment="1">
      <alignment horizontal="center" vertical="center"/>
    </xf>
    <xf numFmtId="165" fontId="16" fillId="7" borderId="15" xfId="4" applyFont="1" applyFill="1" applyBorder="1" applyAlignment="1" applyProtection="1">
      <alignment horizontal="center" vertical="center"/>
    </xf>
    <xf numFmtId="165" fontId="15" fillId="7" borderId="15" xfId="4" applyFont="1" applyFill="1" applyBorder="1" applyAlignment="1" applyProtection="1">
      <alignment horizontal="left" vertical="center"/>
    </xf>
    <xf numFmtId="0" fontId="0" fillId="0" borderId="16" xfId="0" applyBorder="1" applyAlignment="1">
      <alignment vertical="center"/>
    </xf>
    <xf numFmtId="165" fontId="17" fillId="0" borderId="15" xfId="4" applyFont="1" applyBorder="1" applyAlignment="1" applyProtection="1">
      <alignment horizontal="center" vertical="center"/>
    </xf>
    <xf numFmtId="165" fontId="17" fillId="0" borderId="15" xfId="4" applyFont="1" applyBorder="1" applyAlignment="1" applyProtection="1">
      <alignment horizontal="left" vertical="center"/>
    </xf>
    <xf numFmtId="165" fontId="18" fillId="7" borderId="15" xfId="4" applyFont="1" applyFill="1" applyBorder="1" applyAlignment="1" applyProtection="1">
      <alignment horizontal="center" vertical="center"/>
    </xf>
    <xf numFmtId="165" fontId="18" fillId="7" borderId="15" xfId="4" applyFont="1" applyFill="1" applyBorder="1" applyAlignment="1" applyProtection="1">
      <alignment horizontal="left" vertical="center"/>
    </xf>
    <xf numFmtId="165" fontId="11" fillId="8" borderId="15" xfId="4" applyFont="1" applyFill="1" applyBorder="1" applyAlignment="1">
      <alignment horizontal="center" vertical="center"/>
    </xf>
    <xf numFmtId="165" fontId="11" fillId="8" borderId="15" xfId="4" applyFont="1" applyFill="1" applyBorder="1" applyAlignment="1" applyProtection="1">
      <alignment horizontal="left" vertical="center"/>
    </xf>
    <xf numFmtId="167" fontId="5" fillId="9" borderId="15" xfId="1" applyFont="1" applyFill="1" applyBorder="1" applyAlignment="1">
      <alignment horizontal="center" vertical="center"/>
    </xf>
    <xf numFmtId="167" fontId="5" fillId="0" borderId="15" xfId="1" applyFont="1" applyBorder="1" applyAlignment="1">
      <alignment horizontal="center" vertical="center"/>
    </xf>
    <xf numFmtId="3" fontId="5" fillId="0" borderId="15" xfId="1" applyNumberFormat="1" applyFont="1" applyBorder="1" applyAlignment="1">
      <alignment horizontal="center" vertical="center"/>
    </xf>
    <xf numFmtId="3" fontId="5" fillId="9" borderId="15" xfId="1" applyNumberFormat="1" applyFont="1" applyFill="1" applyBorder="1" applyAlignment="1">
      <alignment horizontal="center" vertical="center"/>
    </xf>
    <xf numFmtId="3" fontId="3" fillId="0" borderId="15" xfId="1" applyNumberFormat="1" applyFont="1" applyBorder="1" applyAlignment="1">
      <alignment horizontal="center" vertical="center"/>
    </xf>
    <xf numFmtId="9" fontId="5" fillId="9" borderId="15" xfId="3" applyFont="1" applyFill="1" applyBorder="1" applyAlignment="1">
      <alignment horizontal="center" vertical="center"/>
    </xf>
    <xf numFmtId="171" fontId="0" fillId="4" borderId="0" xfId="2" applyNumberFormat="1" applyFont="1" applyFill="1" applyAlignment="1">
      <alignment vertical="center"/>
    </xf>
    <xf numFmtId="171" fontId="8" fillId="0" borderId="15" xfId="2" applyNumberFormat="1" applyFont="1" applyBorder="1" applyAlignment="1" applyProtection="1">
      <alignment horizontal="left" vertical="center"/>
    </xf>
    <xf numFmtId="171" fontId="3" fillId="0" borderId="15" xfId="2" applyNumberFormat="1" applyFont="1" applyBorder="1" applyAlignment="1" applyProtection="1">
      <alignment horizontal="left" vertical="center"/>
    </xf>
    <xf numFmtId="171" fontId="14" fillId="4" borderId="15" xfId="2" applyNumberFormat="1" applyFont="1" applyFill="1" applyBorder="1" applyAlignment="1" applyProtection="1">
      <alignment horizontal="left" vertical="center"/>
    </xf>
    <xf numFmtId="171" fontId="15" fillId="7" borderId="15" xfId="2" applyNumberFormat="1" applyFont="1" applyFill="1" applyBorder="1" applyAlignment="1" applyProtection="1">
      <alignment horizontal="left" vertical="center"/>
    </xf>
    <xf numFmtId="171" fontId="17" fillId="0" borderId="15" xfId="2" applyNumberFormat="1" applyFont="1" applyBorder="1" applyAlignment="1" applyProtection="1">
      <alignment horizontal="left" vertical="center"/>
    </xf>
    <xf numFmtId="171" fontId="18" fillId="7" borderId="15" xfId="2" applyNumberFormat="1" applyFont="1" applyFill="1" applyBorder="1" applyAlignment="1" applyProtection="1">
      <alignment horizontal="left" vertical="center"/>
    </xf>
    <xf numFmtId="171" fontId="11" fillId="8" borderId="15" xfId="2" applyNumberFormat="1" applyFont="1" applyFill="1" applyBorder="1" applyAlignment="1" applyProtection="1">
      <alignment horizontal="left" vertical="center"/>
    </xf>
    <xf numFmtId="171" fontId="5" fillId="9" borderId="15" xfId="2" applyNumberFormat="1" applyFont="1" applyFill="1" applyBorder="1" applyAlignment="1">
      <alignment horizontal="center" vertical="center"/>
    </xf>
    <xf numFmtId="3" fontId="6" fillId="9" borderId="15" xfId="1" applyNumberFormat="1" applyFont="1" applyFill="1" applyBorder="1" applyAlignment="1">
      <alignment horizontal="center" vertical="center"/>
    </xf>
    <xf numFmtId="3" fontId="7" fillId="0" borderId="15" xfId="1" applyNumberFormat="1" applyFont="1" applyBorder="1" applyAlignment="1">
      <alignment horizontal="center" vertical="center"/>
    </xf>
    <xf numFmtId="9" fontId="6" fillId="9" borderId="15" xfId="3" applyFont="1" applyFill="1" applyBorder="1" applyAlignment="1">
      <alignment horizontal="center" vertical="center"/>
    </xf>
    <xf numFmtId="171" fontId="0" fillId="0" borderId="0" xfId="2" applyNumberFormat="1" applyFont="1"/>
    <xf numFmtId="0" fontId="8" fillId="0" borderId="0" xfId="0" applyFont="1"/>
    <xf numFmtId="0" fontId="12" fillId="0" borderId="0" xfId="0" applyFont="1" applyAlignment="1">
      <alignment vertical="center"/>
    </xf>
    <xf numFmtId="0" fontId="0" fillId="0" borderId="16" xfId="0" applyBorder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5" fontId="8" fillId="0" borderId="15" xfId="4" applyFont="1" applyFill="1" applyBorder="1" applyAlignment="1" applyProtection="1">
      <alignment horizontal="center" vertical="center"/>
    </xf>
    <xf numFmtId="165" fontId="8" fillId="4" borderId="15" xfId="4" applyFont="1" applyFill="1" applyBorder="1" applyAlignment="1" applyProtection="1">
      <alignment horizontal="left" vertical="center"/>
    </xf>
    <xf numFmtId="165" fontId="8" fillId="4" borderId="15" xfId="4" applyFont="1" applyFill="1" applyBorder="1" applyAlignment="1" applyProtection="1">
      <alignment horizontal="center" vertical="center"/>
    </xf>
    <xf numFmtId="165" fontId="15" fillId="7" borderId="15" xfId="4" applyFont="1" applyFill="1" applyBorder="1" applyAlignment="1" applyProtection="1">
      <alignment horizontal="center" vertical="center"/>
    </xf>
    <xf numFmtId="165" fontId="17" fillId="0" borderId="15" xfId="4" applyFont="1" applyFill="1" applyBorder="1" applyAlignment="1" applyProtection="1">
      <alignment horizontal="center" vertical="center"/>
    </xf>
    <xf numFmtId="165" fontId="17" fillId="0" borderId="15" xfId="4" applyFont="1" applyFill="1" applyBorder="1" applyAlignment="1" applyProtection="1">
      <alignment horizontal="left" vertical="center"/>
    </xf>
    <xf numFmtId="165" fontId="14" fillId="0" borderId="15" xfId="4" applyFont="1" applyFill="1" applyBorder="1" applyAlignment="1" applyProtection="1">
      <alignment horizontal="center" vertical="center"/>
    </xf>
    <xf numFmtId="165" fontId="8" fillId="0" borderId="15" xfId="4" applyFont="1" applyFill="1" applyBorder="1" applyAlignment="1" applyProtection="1">
      <alignment horizontal="left" vertical="center"/>
    </xf>
    <xf numFmtId="171" fontId="8" fillId="4" borderId="15" xfId="2" applyNumberFormat="1" applyFont="1" applyFill="1" applyBorder="1" applyAlignment="1" applyProtection="1">
      <alignment horizontal="left" vertical="center"/>
    </xf>
    <xf numFmtId="171" fontId="17" fillId="0" borderId="15" xfId="2" applyNumberFormat="1" applyFont="1" applyFill="1" applyBorder="1" applyAlignment="1" applyProtection="1">
      <alignment horizontal="left" vertical="center"/>
    </xf>
    <xf numFmtId="171" fontId="8" fillId="0" borderId="15" xfId="2" applyNumberFormat="1" applyFont="1" applyFill="1" applyBorder="1" applyAlignment="1" applyProtection="1">
      <alignment horizontal="left" vertical="center"/>
    </xf>
    <xf numFmtId="165" fontId="17" fillId="4" borderId="15" xfId="4" applyFont="1" applyFill="1" applyBorder="1" applyAlignment="1" applyProtection="1">
      <alignment horizontal="center" vertical="center"/>
    </xf>
    <xf numFmtId="165" fontId="17" fillId="4" borderId="15" xfId="4" applyFont="1" applyFill="1" applyBorder="1" applyAlignment="1" applyProtection="1">
      <alignment horizontal="left" vertical="center"/>
    </xf>
    <xf numFmtId="165" fontId="18" fillId="7" borderId="15" xfId="4" applyFont="1" applyFill="1" applyBorder="1" applyAlignment="1">
      <alignment horizontal="center" vertical="center"/>
    </xf>
    <xf numFmtId="171" fontId="17" fillId="4" borderId="15" xfId="2" applyNumberFormat="1" applyFont="1" applyFill="1" applyBorder="1" applyAlignment="1" applyProtection="1">
      <alignment horizontal="left" vertical="center"/>
    </xf>
    <xf numFmtId="165" fontId="14" fillId="0" borderId="15" xfId="4" applyFont="1" applyBorder="1" applyAlignment="1">
      <alignment horizontal="center" vertical="center"/>
    </xf>
    <xf numFmtId="165" fontId="17" fillId="0" borderId="15" xfId="4" applyFont="1" applyFill="1" applyBorder="1" applyAlignment="1">
      <alignment horizontal="center" vertical="center"/>
    </xf>
    <xf numFmtId="165" fontId="17" fillId="0" borderId="15" xfId="4" applyFont="1" applyBorder="1" applyAlignment="1">
      <alignment horizontal="center" vertical="center"/>
    </xf>
    <xf numFmtId="165" fontId="22" fillId="0" borderId="15" xfId="4" applyFont="1" applyBorder="1" applyAlignment="1" applyProtection="1">
      <alignment horizontal="center" vertical="center"/>
    </xf>
    <xf numFmtId="165" fontId="23" fillId="7" borderId="15" xfId="4" applyFont="1" applyFill="1" applyBorder="1" applyAlignment="1" applyProtection="1">
      <alignment horizontal="center" vertical="center"/>
    </xf>
    <xf numFmtId="165" fontId="19" fillId="7" borderId="15" xfId="4" applyFont="1" applyFill="1" applyBorder="1" applyAlignment="1" applyProtection="1">
      <alignment horizontal="left" vertical="center"/>
    </xf>
    <xf numFmtId="171" fontId="19" fillId="7" borderId="15" xfId="2" applyNumberFormat="1" applyFont="1" applyFill="1" applyBorder="1" applyAlignment="1" applyProtection="1">
      <alignment horizontal="left" vertical="center"/>
    </xf>
    <xf numFmtId="165" fontId="8" fillId="0" borderId="15" xfId="4" applyFont="1" applyBorder="1" applyAlignment="1">
      <alignment horizontal="center" vertical="center"/>
    </xf>
    <xf numFmtId="165" fontId="3" fillId="4" borderId="15" xfId="4" applyFont="1" applyFill="1" applyBorder="1" applyAlignment="1" applyProtection="1">
      <alignment horizontal="left" vertical="center"/>
    </xf>
    <xf numFmtId="165" fontId="5" fillId="7" borderId="15" xfId="4" applyFont="1" applyFill="1" applyBorder="1" applyAlignment="1">
      <alignment horizontal="center" vertical="center"/>
    </xf>
    <xf numFmtId="165" fontId="8" fillId="0" borderId="0" xfId="4" applyFont="1" applyBorder="1" applyAlignment="1">
      <alignment horizontal="center" vertical="center"/>
    </xf>
    <xf numFmtId="165" fontId="8" fillId="0" borderId="0" xfId="4" applyFont="1" applyBorder="1" applyAlignment="1" applyProtection="1">
      <alignment horizontal="left" vertical="center"/>
    </xf>
    <xf numFmtId="165" fontId="15" fillId="10" borderId="15" xfId="4" applyFont="1" applyFill="1" applyBorder="1" applyAlignment="1" applyProtection="1">
      <alignment horizontal="center" vertical="center"/>
    </xf>
    <xf numFmtId="165" fontId="15" fillId="10" borderId="15" xfId="4" applyFont="1" applyFill="1" applyBorder="1" applyAlignment="1" applyProtection="1">
      <alignment horizontal="left" vertical="center"/>
    </xf>
    <xf numFmtId="165" fontId="18" fillId="10" borderId="15" xfId="4" applyFont="1" applyFill="1" applyBorder="1" applyAlignment="1" applyProtection="1">
      <alignment horizontal="center" vertical="center"/>
    </xf>
    <xf numFmtId="165" fontId="18" fillId="10" borderId="15" xfId="4" applyFont="1" applyFill="1" applyBorder="1" applyAlignment="1" applyProtection="1">
      <alignment horizontal="left" vertical="center"/>
    </xf>
    <xf numFmtId="171" fontId="3" fillId="4" borderId="15" xfId="2" applyNumberFormat="1" applyFont="1" applyFill="1" applyBorder="1" applyAlignment="1" applyProtection="1">
      <alignment horizontal="left" vertical="center"/>
    </xf>
    <xf numFmtId="171" fontId="15" fillId="10" borderId="15" xfId="2" applyNumberFormat="1" applyFont="1" applyFill="1" applyBorder="1" applyAlignment="1" applyProtection="1">
      <alignment horizontal="left" vertical="center"/>
    </xf>
    <xf numFmtId="171" fontId="18" fillId="10" borderId="15" xfId="2" applyNumberFormat="1" applyFont="1" applyFill="1" applyBorder="1" applyAlignment="1" applyProtection="1">
      <alignment horizontal="left" vertical="center"/>
    </xf>
    <xf numFmtId="165" fontId="17" fillId="0" borderId="18" xfId="4" applyFont="1" applyBorder="1" applyAlignment="1" applyProtection="1">
      <alignment horizontal="left" vertical="center"/>
    </xf>
    <xf numFmtId="165" fontId="19" fillId="7" borderId="15" xfId="4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/>
    </xf>
    <xf numFmtId="167" fontId="0" fillId="0" borderId="0" xfId="1" applyFont="1" applyAlignment="1">
      <alignment vertical="center"/>
    </xf>
    <xf numFmtId="167" fontId="8" fillId="0" borderId="15" xfId="1" applyFont="1" applyBorder="1" applyAlignment="1" applyProtection="1">
      <alignment horizontal="left" vertical="center"/>
    </xf>
    <xf numFmtId="165" fontId="3" fillId="0" borderId="15" xfId="4" applyFont="1" applyFill="1" applyBorder="1" applyAlignment="1" applyProtection="1">
      <alignment horizontal="center" vertical="center"/>
    </xf>
    <xf numFmtId="167" fontId="3" fillId="0" borderId="15" xfId="1" applyFont="1" applyFill="1" applyBorder="1" applyAlignment="1" applyProtection="1">
      <alignment horizontal="left" vertical="center"/>
    </xf>
    <xf numFmtId="167" fontId="15" fillId="7" borderId="15" xfId="1" applyFont="1" applyFill="1" applyBorder="1" applyAlignment="1" applyProtection="1">
      <alignment horizontal="left" vertical="center"/>
    </xf>
    <xf numFmtId="167" fontId="0" fillId="0" borderId="0" xfId="1" applyFont="1" applyBorder="1" applyAlignment="1">
      <alignment vertical="center"/>
    </xf>
    <xf numFmtId="167" fontId="17" fillId="4" borderId="15" xfId="1" applyFont="1" applyFill="1" applyBorder="1" applyAlignment="1" applyProtection="1">
      <alignment horizontal="left" vertical="center"/>
    </xf>
    <xf numFmtId="167" fontId="18" fillId="7" borderId="15" xfId="1" applyFont="1" applyFill="1" applyBorder="1" applyAlignment="1" applyProtection="1">
      <alignment horizontal="left" vertical="center"/>
    </xf>
    <xf numFmtId="167" fontId="14" fillId="4" borderId="15" xfId="1" applyFont="1" applyFill="1" applyBorder="1" applyAlignment="1" applyProtection="1">
      <alignment horizontal="left" vertical="center"/>
    </xf>
    <xf numFmtId="167" fontId="11" fillId="8" borderId="15" xfId="1" applyFont="1" applyFill="1" applyBorder="1" applyAlignment="1">
      <alignment vertical="center"/>
    </xf>
    <xf numFmtId="171" fontId="11" fillId="8" borderId="15" xfId="2" applyNumberFormat="1" applyFont="1" applyFill="1" applyBorder="1" applyAlignment="1">
      <alignment vertical="center"/>
    </xf>
    <xf numFmtId="165" fontId="13" fillId="0" borderId="14" xfId="4" applyFont="1" applyFill="1" applyBorder="1" applyAlignment="1">
      <alignment horizontal="center" vertical="center"/>
    </xf>
    <xf numFmtId="165" fontId="11" fillId="8" borderId="15" xfId="4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13" fillId="0" borderId="14" xfId="0" applyFont="1" applyBorder="1" applyAlignment="1">
      <alignment vertical="center"/>
    </xf>
    <xf numFmtId="165" fontId="17" fillId="0" borderId="11" xfId="4" applyFont="1" applyFill="1" applyBorder="1" applyAlignment="1" applyProtection="1">
      <alignment horizontal="center" vertical="center"/>
    </xf>
    <xf numFmtId="165" fontId="17" fillId="0" borderId="11" xfId="4" applyFont="1" applyBorder="1" applyAlignment="1" applyProtection="1">
      <alignment horizontal="center" vertical="center"/>
    </xf>
    <xf numFmtId="165" fontId="17" fillId="4" borderId="11" xfId="4" applyFont="1" applyFill="1" applyBorder="1" applyAlignment="1" applyProtection="1">
      <alignment horizontal="left" vertical="center"/>
    </xf>
    <xf numFmtId="165" fontId="18" fillId="10" borderId="15" xfId="4" applyFont="1" applyFill="1" applyBorder="1" applyAlignment="1">
      <alignment horizontal="center" vertical="center"/>
    </xf>
    <xf numFmtId="171" fontId="17" fillId="4" borderId="11" xfId="2" applyNumberFormat="1" applyFont="1" applyFill="1" applyBorder="1" applyAlignment="1" applyProtection="1">
      <alignment horizontal="left" vertical="center"/>
    </xf>
    <xf numFmtId="171" fontId="8" fillId="0" borderId="0" xfId="2" applyNumberFormat="1" applyFont="1" applyBorder="1" applyAlignment="1" applyProtection="1">
      <alignment horizontal="left" vertical="center"/>
    </xf>
    <xf numFmtId="171" fontId="0" fillId="0" borderId="0" xfId="2" applyNumberFormat="1" applyFont="1" applyBorder="1" applyAlignment="1">
      <alignment vertical="center"/>
    </xf>
    <xf numFmtId="171" fontId="0" fillId="0" borderId="0" xfId="2" applyNumberFormat="1" applyFont="1" applyFill="1" applyAlignment="1">
      <alignment vertical="center"/>
    </xf>
    <xf numFmtId="171" fontId="5" fillId="0" borderId="0" xfId="2" applyNumberFormat="1" applyFont="1" applyFill="1" applyBorder="1" applyAlignment="1">
      <alignment horizontal="center" vertical="center"/>
    </xf>
    <xf numFmtId="171" fontId="0" fillId="0" borderId="0" xfId="2" applyNumberFormat="1" applyFont="1" applyBorder="1"/>
    <xf numFmtId="171" fontId="0" fillId="0" borderId="0" xfId="2" applyNumberFormat="1" applyFont="1" applyFill="1"/>
    <xf numFmtId="169" fontId="3" fillId="0" borderId="2" xfId="1" applyNumberFormat="1" applyFont="1" applyBorder="1" applyAlignment="1">
      <alignment horizontal="center" vertical="center"/>
    </xf>
    <xf numFmtId="171" fontId="1" fillId="4" borderId="0" xfId="2" applyNumberFormat="1" applyFont="1" applyFill="1" applyAlignment="1">
      <alignment vertical="center"/>
    </xf>
    <xf numFmtId="171" fontId="1" fillId="0" borderId="0" xfId="2" applyNumberFormat="1" applyFont="1" applyAlignment="1">
      <alignment vertical="center"/>
    </xf>
    <xf numFmtId="171" fontId="15" fillId="0" borderId="15" xfId="2" applyNumberFormat="1" applyFont="1" applyBorder="1" applyAlignment="1" applyProtection="1">
      <alignment horizontal="left" vertical="center"/>
    </xf>
    <xf numFmtId="171" fontId="1" fillId="0" borderId="19" xfId="2" applyNumberFormat="1" applyFont="1" applyBorder="1" applyAlignment="1">
      <alignment vertical="center"/>
    </xf>
    <xf numFmtId="171" fontId="1" fillId="0" borderId="17" xfId="2" applyNumberFormat="1" applyFont="1" applyBorder="1" applyAlignment="1">
      <alignment vertical="center"/>
    </xf>
    <xf numFmtId="171" fontId="18" fillId="4" borderId="15" xfId="2" applyNumberFormat="1" applyFont="1" applyFill="1" applyBorder="1" applyAlignment="1" applyProtection="1">
      <alignment horizontal="left" vertical="center"/>
    </xf>
    <xf numFmtId="171" fontId="18" fillId="4" borderId="11" xfId="2" applyNumberFormat="1" applyFont="1" applyFill="1" applyBorder="1" applyAlignment="1" applyProtection="1">
      <alignment horizontal="left" vertical="center"/>
    </xf>
    <xf numFmtId="171" fontId="18" fillId="0" borderId="15" xfId="2" applyNumberFormat="1" applyFont="1" applyBorder="1" applyAlignment="1" applyProtection="1">
      <alignment horizontal="left" vertical="center"/>
    </xf>
    <xf numFmtId="171" fontId="18" fillId="0" borderId="15" xfId="2" applyNumberFormat="1" applyFont="1" applyFill="1" applyBorder="1" applyAlignment="1" applyProtection="1">
      <alignment horizontal="left" vertical="center"/>
    </xf>
    <xf numFmtId="171" fontId="0" fillId="0" borderId="23" xfId="2" applyNumberFormat="1" applyFont="1" applyBorder="1" applyAlignment="1">
      <alignment vertical="center"/>
    </xf>
    <xf numFmtId="171" fontId="6" fillId="0" borderId="0" xfId="2" applyNumberFormat="1" applyFont="1" applyFill="1" applyBorder="1" applyAlignment="1">
      <alignment horizontal="center" vertical="center"/>
    </xf>
    <xf numFmtId="171" fontId="7" fillId="0" borderId="0" xfId="2" applyNumberFormat="1" applyFont="1" applyFill="1" applyBorder="1" applyAlignment="1">
      <alignment horizontal="center" vertical="center"/>
    </xf>
    <xf numFmtId="171" fontId="15" fillId="0" borderId="15" xfId="2" applyNumberFormat="1" applyFont="1" applyFill="1" applyBorder="1" applyAlignment="1" applyProtection="1">
      <alignment horizontal="left" vertical="center"/>
    </xf>
    <xf numFmtId="171" fontId="5" fillId="4" borderId="15" xfId="2" applyNumberFormat="1" applyFont="1" applyFill="1" applyBorder="1" applyAlignment="1" applyProtection="1">
      <alignment horizontal="left" vertical="center"/>
    </xf>
    <xf numFmtId="171" fontId="5" fillId="0" borderId="15" xfId="2" applyNumberFormat="1" applyFont="1" applyBorder="1" applyAlignment="1" applyProtection="1">
      <alignment horizontal="left" vertical="center"/>
    </xf>
    <xf numFmtId="171" fontId="19" fillId="4" borderId="15" xfId="2" applyNumberFormat="1" applyFont="1" applyFill="1" applyBorder="1" applyAlignment="1" applyProtection="1">
      <alignment horizontal="left" vertical="center"/>
    </xf>
    <xf numFmtId="171" fontId="1" fillId="0" borderId="0" xfId="2" applyNumberFormat="1" applyFont="1" applyFill="1" applyAlignment="1">
      <alignment vertical="center"/>
    </xf>
    <xf numFmtId="171" fontId="15" fillId="0" borderId="19" xfId="2" applyNumberFormat="1" applyFont="1" applyBorder="1" applyAlignment="1" applyProtection="1">
      <alignment horizontal="left" vertical="center"/>
    </xf>
    <xf numFmtId="171" fontId="8" fillId="0" borderId="23" xfId="2" applyNumberFormat="1" applyFont="1" applyBorder="1" applyAlignment="1" applyProtection="1">
      <alignment horizontal="left" vertical="center"/>
    </xf>
    <xf numFmtId="171" fontId="1" fillId="0" borderId="22" xfId="2" applyNumberFormat="1" applyFont="1" applyBorder="1" applyAlignment="1">
      <alignment vertical="center"/>
    </xf>
    <xf numFmtId="171" fontId="15" fillId="4" borderId="15" xfId="2" applyNumberFormat="1" applyFont="1" applyFill="1" applyBorder="1" applyAlignment="1" applyProtection="1">
      <alignment horizontal="left" vertical="center"/>
    </xf>
    <xf numFmtId="171" fontId="0" fillId="0" borderId="23" xfId="2" applyNumberFormat="1" applyFont="1" applyBorder="1"/>
    <xf numFmtId="171" fontId="1" fillId="0" borderId="19" xfId="2" applyNumberFormat="1" applyFont="1" applyBorder="1"/>
    <xf numFmtId="171" fontId="1" fillId="0" borderId="0" xfId="2" applyNumberFormat="1" applyFont="1" applyFill="1"/>
    <xf numFmtId="171" fontId="0" fillId="0" borderId="24" xfId="2" applyNumberFormat="1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168" fontId="17" fillId="0" borderId="15" xfId="46" applyFont="1" applyBorder="1" applyAlignment="1" applyProtection="1">
      <alignment vertical="center"/>
    </xf>
    <xf numFmtId="171" fontId="17" fillId="0" borderId="15" xfId="2" applyNumberFormat="1" applyFont="1" applyFill="1" applyBorder="1" applyAlignment="1" applyProtection="1">
      <alignment vertical="center"/>
    </xf>
    <xf numFmtId="171" fontId="18" fillId="0" borderId="15" xfId="2" applyNumberFormat="1" applyFont="1" applyFill="1" applyBorder="1" applyAlignment="1" applyProtection="1">
      <alignment vertical="center"/>
    </xf>
    <xf numFmtId="0" fontId="37" fillId="0" borderId="0" xfId="0" applyFont="1" applyAlignment="1">
      <alignment vertical="center"/>
    </xf>
    <xf numFmtId="165" fontId="38" fillId="0" borderId="14" xfId="4" applyFont="1" applyFill="1" applyBorder="1" applyAlignment="1" applyProtection="1">
      <alignment horizontal="center" vertical="center"/>
    </xf>
    <xf numFmtId="165" fontId="39" fillId="0" borderId="15" xfId="4" applyFont="1" applyFill="1" applyBorder="1" applyAlignment="1">
      <alignment horizontal="center" vertical="center"/>
    </xf>
    <xf numFmtId="165" fontId="39" fillId="0" borderId="15" xfId="4" applyFont="1" applyFill="1" applyBorder="1" applyAlignment="1" applyProtection="1">
      <alignment horizontal="center" vertical="center"/>
    </xf>
    <xf numFmtId="165" fontId="39" fillId="0" borderId="15" xfId="4" applyFont="1" applyFill="1" applyBorder="1" applyAlignment="1" applyProtection="1">
      <alignment horizontal="left" vertical="center"/>
    </xf>
    <xf numFmtId="171" fontId="39" fillId="0" borderId="15" xfId="2" applyNumberFormat="1" applyFont="1" applyFill="1" applyBorder="1" applyAlignment="1" applyProtection="1">
      <alignment horizontal="left" vertical="center"/>
    </xf>
    <xf numFmtId="171" fontId="40" fillId="0" borderId="15" xfId="2" applyNumberFormat="1" applyFont="1" applyFill="1" applyBorder="1" applyAlignment="1" applyProtection="1">
      <alignment horizontal="left" vertical="center"/>
    </xf>
    <xf numFmtId="165" fontId="40" fillId="7" borderId="15" xfId="4" applyFont="1" applyFill="1" applyBorder="1" applyAlignment="1" applyProtection="1">
      <alignment horizontal="center" vertical="center"/>
    </xf>
    <xf numFmtId="165" fontId="40" fillId="7" borderId="15" xfId="4" applyFont="1" applyFill="1" applyBorder="1" applyAlignment="1" applyProtection="1">
      <alignment horizontal="left" vertical="center"/>
    </xf>
    <xf numFmtId="171" fontId="40" fillId="7" borderId="15" xfId="2" applyNumberFormat="1" applyFont="1" applyFill="1" applyBorder="1" applyAlignment="1" applyProtection="1">
      <alignment horizontal="left" vertical="center"/>
    </xf>
    <xf numFmtId="171" fontId="1" fillId="0" borderId="23" xfId="2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38" fillId="0" borderId="14" xfId="0" applyFont="1" applyBorder="1" applyAlignment="1">
      <alignment horizontal="center" vertical="center"/>
    </xf>
    <xf numFmtId="167" fontId="39" fillId="0" borderId="15" xfId="1" applyFont="1" applyFill="1" applyBorder="1" applyAlignment="1" applyProtection="1">
      <alignment horizontal="left" vertical="center"/>
    </xf>
    <xf numFmtId="171" fontId="1" fillId="0" borderId="23" xfId="2" applyNumberFormat="1" applyFont="1" applyBorder="1"/>
    <xf numFmtId="0" fontId="0" fillId="0" borderId="26" xfId="0" applyBorder="1"/>
    <xf numFmtId="171" fontId="0" fillId="0" borderId="26" xfId="2" applyNumberFormat="1" applyFont="1" applyBorder="1"/>
    <xf numFmtId="168" fontId="14" fillId="0" borderId="15" xfId="46" applyFont="1" applyBorder="1" applyAlignment="1" applyProtection="1">
      <alignment vertical="center"/>
    </xf>
    <xf numFmtId="171" fontId="14" fillId="0" borderId="15" xfId="2" applyNumberFormat="1" applyFont="1" applyFill="1" applyBorder="1" applyAlignment="1" applyProtection="1">
      <alignment vertical="center"/>
    </xf>
    <xf numFmtId="171" fontId="19" fillId="0" borderId="15" xfId="2" applyNumberFormat="1" applyFont="1" applyFill="1" applyBorder="1" applyAlignment="1" applyProtection="1">
      <alignment vertical="center"/>
    </xf>
    <xf numFmtId="0" fontId="42" fillId="0" borderId="0" xfId="0" applyFont="1" applyAlignment="1">
      <alignment horizontal="center" vertical="center"/>
    </xf>
    <xf numFmtId="0" fontId="21" fillId="0" borderId="0" xfId="0" applyFont="1"/>
    <xf numFmtId="9" fontId="42" fillId="0" borderId="0" xfId="3" applyFont="1" applyFill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165" fontId="8" fillId="0" borderId="15" xfId="4" applyFont="1" applyFill="1" applyBorder="1" applyAlignment="1">
      <alignment horizontal="center" vertical="center"/>
    </xf>
    <xf numFmtId="0" fontId="21" fillId="0" borderId="16" xfId="0" applyFont="1" applyBorder="1" applyAlignment="1">
      <alignment vertical="center"/>
    </xf>
    <xf numFmtId="171" fontId="21" fillId="0" borderId="0" xfId="2" applyNumberFormat="1" applyFont="1" applyBorder="1" applyAlignment="1">
      <alignment vertical="center"/>
    </xf>
    <xf numFmtId="171" fontId="43" fillId="0" borderId="19" xfId="2" applyNumberFormat="1" applyFont="1" applyBorder="1" applyAlignment="1">
      <alignment vertical="center"/>
    </xf>
    <xf numFmtId="171" fontId="21" fillId="0" borderId="0" xfId="2" applyNumberFormat="1" applyFont="1" applyAlignment="1">
      <alignment vertical="center"/>
    </xf>
    <xf numFmtId="171" fontId="43" fillId="0" borderId="0" xfId="2" applyNumberFormat="1" applyFont="1" applyAlignment="1">
      <alignment vertical="center"/>
    </xf>
    <xf numFmtId="171" fontId="21" fillId="0" borderId="23" xfId="2" applyNumberFormat="1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171" fontId="43" fillId="0" borderId="23" xfId="2" applyNumberFormat="1" applyFont="1" applyBorder="1" applyAlignment="1">
      <alignment vertical="center"/>
    </xf>
    <xf numFmtId="169" fontId="3" fillId="0" borderId="0" xfId="1" applyNumberFormat="1" applyFont="1" applyAlignment="1">
      <alignment horizontal="center" vertical="center"/>
    </xf>
    <xf numFmtId="0" fontId="44" fillId="0" borderId="0" xfId="0" applyFont="1" applyAlignment="1">
      <alignment vertical="center"/>
    </xf>
    <xf numFmtId="172" fontId="0" fillId="0" borderId="0" xfId="1" applyNumberFormat="1" applyFont="1" applyAlignment="1">
      <alignment vertical="center"/>
    </xf>
    <xf numFmtId="172" fontId="1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9" fontId="5" fillId="0" borderId="0" xfId="3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0" fontId="3" fillId="0" borderId="0" xfId="0" applyFont="1" applyAlignment="1">
      <alignment horizontal="right" vertical="center"/>
    </xf>
    <xf numFmtId="169" fontId="3" fillId="0" borderId="27" xfId="1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18" fillId="4" borderId="15" xfId="4" applyFont="1" applyFill="1" applyBorder="1" applyAlignment="1" applyProtection="1">
      <alignment horizontal="center" vertical="center"/>
    </xf>
    <xf numFmtId="167" fontId="18" fillId="4" borderId="15" xfId="1" applyFont="1" applyFill="1" applyBorder="1" applyAlignment="1" applyProtection="1">
      <alignment horizontal="left" vertical="center"/>
    </xf>
    <xf numFmtId="167" fontId="8" fillId="0" borderId="0" xfId="1" applyFont="1" applyAlignment="1">
      <alignment vertical="center"/>
    </xf>
    <xf numFmtId="169" fontId="8" fillId="0" borderId="2" xfId="2" applyNumberFormat="1" applyFont="1" applyBorder="1" applyAlignment="1">
      <alignment horizontal="center" vertical="center"/>
    </xf>
    <xf numFmtId="0" fontId="10" fillId="5" borderId="10" xfId="4" applyNumberFormat="1" applyFont="1" applyFill="1" applyBorder="1" applyAlignment="1" applyProtection="1">
      <alignment horizontal="center" vertical="center" wrapText="1"/>
    </xf>
    <xf numFmtId="0" fontId="10" fillId="5" borderId="12" xfId="4" applyNumberFormat="1" applyFont="1" applyFill="1" applyBorder="1" applyAlignment="1" applyProtection="1">
      <alignment horizontal="center" vertical="center" wrapText="1"/>
    </xf>
    <xf numFmtId="0" fontId="11" fillId="6" borderId="11" xfId="4" applyNumberFormat="1" applyFont="1" applyFill="1" applyBorder="1" applyAlignment="1" applyProtection="1">
      <alignment horizontal="center" vertical="center" wrapText="1"/>
    </xf>
    <xf numFmtId="0" fontId="11" fillId="6" borderId="13" xfId="4" applyNumberFormat="1" applyFont="1" applyFill="1" applyBorder="1" applyAlignment="1" applyProtection="1">
      <alignment horizontal="center" vertical="center" wrapText="1"/>
    </xf>
    <xf numFmtId="0" fontId="9" fillId="4" borderId="0" xfId="111" applyFont="1" applyFill="1" applyAlignment="1">
      <alignment horizontal="center" vertical="center"/>
    </xf>
    <xf numFmtId="0" fontId="11" fillId="6" borderId="11" xfId="2" applyNumberFormat="1" applyFont="1" applyFill="1" applyBorder="1" applyAlignment="1" applyProtection="1">
      <alignment horizontal="center" vertical="center" wrapText="1"/>
    </xf>
    <xf numFmtId="0" fontId="11" fillId="6" borderId="13" xfId="2" applyNumberFormat="1" applyFont="1" applyFill="1" applyBorder="1" applyAlignment="1" applyProtection="1">
      <alignment horizontal="center" vertical="center" wrapText="1"/>
    </xf>
    <xf numFmtId="171" fontId="11" fillId="6" borderId="11" xfId="2" applyNumberFormat="1" applyFont="1" applyFill="1" applyBorder="1" applyAlignment="1" applyProtection="1">
      <alignment horizontal="center" vertical="center" wrapText="1"/>
    </xf>
    <xf numFmtId="171" fontId="11" fillId="6" borderId="13" xfId="2" applyNumberFormat="1" applyFont="1" applyFill="1" applyBorder="1" applyAlignment="1" applyProtection="1">
      <alignment horizontal="center" vertical="center" wrapText="1"/>
    </xf>
    <xf numFmtId="167" fontId="5" fillId="9" borderId="15" xfId="1" applyFont="1" applyFill="1" applyBorder="1" applyAlignment="1">
      <alignment horizontal="center" vertical="center"/>
    </xf>
    <xf numFmtId="3" fontId="5" fillId="0" borderId="15" xfId="1" applyNumberFormat="1" applyFont="1" applyBorder="1" applyAlignment="1">
      <alignment horizontal="center" vertical="center"/>
    </xf>
    <xf numFmtId="3" fontId="5" fillId="9" borderId="15" xfId="1" applyNumberFormat="1" applyFont="1" applyFill="1" applyBorder="1" applyAlignment="1">
      <alignment horizontal="center" vertical="center"/>
    </xf>
    <xf numFmtId="167" fontId="5" fillId="9" borderId="25" xfId="1" applyFont="1" applyFill="1" applyBorder="1" applyAlignment="1">
      <alignment horizontal="center" vertical="center"/>
    </xf>
    <xf numFmtId="167" fontId="5" fillId="9" borderId="19" xfId="1" applyFont="1" applyFill="1" applyBorder="1" applyAlignment="1">
      <alignment horizontal="center" vertical="center"/>
    </xf>
    <xf numFmtId="3" fontId="5" fillId="9" borderId="25" xfId="1" applyNumberFormat="1" applyFont="1" applyFill="1" applyBorder="1" applyAlignment="1">
      <alignment horizontal="center" vertical="center"/>
    </xf>
    <xf numFmtId="3" fontId="5" fillId="9" borderId="19" xfId="1" applyNumberFormat="1" applyFont="1" applyFill="1" applyBorder="1" applyAlignment="1">
      <alignment horizontal="center" vertical="center"/>
    </xf>
    <xf numFmtId="3" fontId="5" fillId="0" borderId="25" xfId="1" applyNumberFormat="1" applyFont="1" applyBorder="1" applyAlignment="1">
      <alignment horizontal="center" vertical="center"/>
    </xf>
    <xf numFmtId="3" fontId="5" fillId="0" borderId="19" xfId="1" applyNumberFormat="1" applyFont="1" applyBorder="1" applyAlignment="1">
      <alignment horizontal="center" vertical="center"/>
    </xf>
    <xf numFmtId="167" fontId="6" fillId="2" borderId="6" xfId="1" applyFont="1" applyFill="1" applyBorder="1" applyAlignment="1">
      <alignment horizontal="center" vertical="center"/>
    </xf>
    <xf numFmtId="167" fontId="6" fillId="2" borderId="8" xfId="1" applyFont="1" applyFill="1" applyBorder="1" applyAlignment="1">
      <alignment horizontal="center" vertical="center"/>
    </xf>
    <xf numFmtId="167" fontId="5" fillId="2" borderId="2" xfId="1" applyFont="1" applyFill="1" applyBorder="1" applyAlignment="1">
      <alignment horizontal="center" vertical="center"/>
    </xf>
    <xf numFmtId="167" fontId="5" fillId="2" borderId="1" xfId="1" applyFont="1" applyFill="1" applyBorder="1" applyAlignment="1">
      <alignment horizontal="center" vertical="center"/>
    </xf>
    <xf numFmtId="167" fontId="5" fillId="2" borderId="20" xfId="1" applyFont="1" applyFill="1" applyBorder="1" applyAlignment="1">
      <alignment horizontal="center" vertical="center"/>
    </xf>
    <xf numFmtId="167" fontId="5" fillId="2" borderId="4" xfId="1" applyFont="1" applyFill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6" xfId="1" applyNumberFormat="1" applyFont="1" applyBorder="1" applyAlignment="1">
      <alignment horizontal="center" vertical="center"/>
    </xf>
    <xf numFmtId="0" fontId="5" fillId="0" borderId="8" xfId="1" applyNumberFormat="1" applyFont="1" applyBorder="1" applyAlignment="1">
      <alignment horizontal="center" vertical="center"/>
    </xf>
    <xf numFmtId="3" fontId="5" fillId="2" borderId="3" xfId="1" applyNumberFormat="1" applyFont="1" applyFill="1" applyBorder="1" applyAlignment="1">
      <alignment horizontal="center" vertical="center" wrapText="1"/>
    </xf>
    <xf numFmtId="3" fontId="5" fillId="2" borderId="21" xfId="1" applyNumberFormat="1" applyFont="1" applyFill="1" applyBorder="1" applyAlignment="1">
      <alignment horizontal="center" vertical="center" wrapText="1"/>
    </xf>
    <xf numFmtId="3" fontId="5" fillId="2" borderId="5" xfId="1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center" vertical="center" wrapText="1"/>
    </xf>
    <xf numFmtId="3" fontId="5" fillId="2" borderId="7" xfId="2" applyNumberFormat="1" applyFont="1" applyFill="1" applyBorder="1" applyAlignment="1">
      <alignment horizontal="center" vertical="center" wrapText="1"/>
    </xf>
    <xf numFmtId="3" fontId="5" fillId="2" borderId="4" xfId="2" applyNumberFormat="1" applyFont="1" applyFill="1" applyBorder="1" applyAlignment="1">
      <alignment horizontal="center" vertical="center" wrapText="1"/>
    </xf>
    <xf numFmtId="3" fontId="5" fillId="2" borderId="9" xfId="2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7" fontId="5" fillId="2" borderId="7" xfId="1" applyFont="1" applyFill="1" applyBorder="1" applyAlignment="1">
      <alignment horizontal="center" vertical="center"/>
    </xf>
    <xf numFmtId="167" fontId="5" fillId="2" borderId="9" xfId="1" applyFont="1" applyFill="1" applyBorder="1" applyAlignment="1">
      <alignment horizontal="center" vertical="center"/>
    </xf>
    <xf numFmtId="167" fontId="5" fillId="2" borderId="6" xfId="1" applyFont="1" applyFill="1" applyBorder="1" applyAlignment="1">
      <alignment horizontal="center" vertical="center"/>
    </xf>
    <xf numFmtId="167" fontId="5" fillId="2" borderId="8" xfId="1" applyFont="1" applyFill="1" applyBorder="1" applyAlignment="1">
      <alignment horizontal="center" vertical="center"/>
    </xf>
    <xf numFmtId="167" fontId="5" fillId="2" borderId="3" xfId="1" applyFont="1" applyFill="1" applyBorder="1" applyAlignment="1">
      <alignment horizontal="center" vertical="center"/>
    </xf>
    <xf numFmtId="167" fontId="5" fillId="2" borderId="21" xfId="1" applyFont="1" applyFill="1" applyBorder="1" applyAlignment="1">
      <alignment horizontal="center" vertical="center"/>
    </xf>
    <xf numFmtId="167" fontId="5" fillId="2" borderId="5" xfId="1" applyFont="1" applyFill="1" applyBorder="1" applyAlignment="1">
      <alignment horizontal="center" vertical="center"/>
    </xf>
    <xf numFmtId="167" fontId="5" fillId="2" borderId="3" xfId="1" applyFont="1" applyFill="1" applyBorder="1" applyAlignment="1">
      <alignment horizontal="center" vertical="center" wrapText="1"/>
    </xf>
    <xf numFmtId="167" fontId="5" fillId="2" borderId="21" xfId="1" applyFont="1" applyFill="1" applyBorder="1" applyAlignment="1">
      <alignment horizontal="center" vertical="center" wrapText="1"/>
    </xf>
    <xf numFmtId="167" fontId="5" fillId="2" borderId="5" xfId="1" applyFont="1" applyFill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1" fillId="11" borderId="15" xfId="0" applyFont="1" applyFill="1" applyBorder="1" applyAlignment="1">
      <alignment horizontal="center" vertical="center"/>
    </xf>
  </cellXfs>
  <cellStyles count="242">
    <cellStyle name="Comma" xfId="1" builtinId="3"/>
    <cellStyle name="Comma [0]" xfId="4" builtinId="6"/>
    <cellStyle name="Comma [0] 2" xfId="5" xr:uid="{00000000-0005-0000-0000-000002000000}"/>
    <cellStyle name="Comma [0] 2 10" xfId="6" xr:uid="{00000000-0005-0000-0000-000003000000}"/>
    <cellStyle name="Comma [0] 2 10 2" xfId="173" xr:uid="{471F445E-FABC-4315-8B83-4A30582018A7}"/>
    <cellStyle name="Comma [0] 2 11" xfId="7" xr:uid="{00000000-0005-0000-0000-000004000000}"/>
    <cellStyle name="Comma [0] 2 11 2" xfId="174" xr:uid="{5028A433-F37B-4332-9866-16BD1D478912}"/>
    <cellStyle name="Comma [0] 2 12" xfId="172" xr:uid="{DC78151D-FE8A-4401-9F78-54172600F782}"/>
    <cellStyle name="Comma [0] 2 2" xfId="8" xr:uid="{00000000-0005-0000-0000-000005000000}"/>
    <cellStyle name="Comma [0] 2 2 2" xfId="9" xr:uid="{00000000-0005-0000-0000-000006000000}"/>
    <cellStyle name="Comma [0] 2 2 2 2" xfId="176" xr:uid="{04DC08D8-A6E0-422A-8014-D235ED77BE7F}"/>
    <cellStyle name="Comma [0] 2 2 3" xfId="175" xr:uid="{A861C6A2-186B-4543-92B8-D3FFAB805943}"/>
    <cellStyle name="Comma [0] 2 3" xfId="10" xr:uid="{00000000-0005-0000-0000-000007000000}"/>
    <cellStyle name="Comma [0] 2 3 2" xfId="177" xr:uid="{A8E440A5-D427-42A2-9A7B-BC14A5E94CA8}"/>
    <cellStyle name="Comma [0] 2 4" xfId="11" xr:uid="{00000000-0005-0000-0000-000008000000}"/>
    <cellStyle name="Comma [0] 2 4 2" xfId="178" xr:uid="{4E3A8199-7325-4D20-AC75-B2C1A49433E9}"/>
    <cellStyle name="Comma [0] 2 5" xfId="12" xr:uid="{00000000-0005-0000-0000-000009000000}"/>
    <cellStyle name="Comma [0] 2 5 2" xfId="179" xr:uid="{F72F88FF-951F-4298-944C-7959D947FE83}"/>
    <cellStyle name="Comma [0] 2 6" xfId="13" xr:uid="{00000000-0005-0000-0000-00000A000000}"/>
    <cellStyle name="Comma [0] 2 6 2" xfId="180" xr:uid="{05AB28B7-8623-46A4-A5E4-8F2DEAB3DBAF}"/>
    <cellStyle name="Comma [0] 2 7" xfId="14" xr:uid="{00000000-0005-0000-0000-00000B000000}"/>
    <cellStyle name="Comma [0] 2 7 2" xfId="181" xr:uid="{7E532B62-4DFA-4942-80FE-F1DDD66E0B7A}"/>
    <cellStyle name="Comma [0] 2 8" xfId="15" xr:uid="{00000000-0005-0000-0000-00000C000000}"/>
    <cellStyle name="Comma [0] 2 8 2" xfId="182" xr:uid="{11529104-7287-49A5-A854-76BE83319A01}"/>
    <cellStyle name="Comma [0] 2 9" xfId="16" xr:uid="{00000000-0005-0000-0000-00000D000000}"/>
    <cellStyle name="Comma [0] 2 9 2" xfId="183" xr:uid="{EEE165EA-8D82-4A0D-9A0C-1ADC13FA244C}"/>
    <cellStyle name="Comma [0] 3" xfId="17" xr:uid="{00000000-0005-0000-0000-00000E000000}"/>
    <cellStyle name="Comma [0] 3 2" xfId="18" xr:uid="{00000000-0005-0000-0000-00000F000000}"/>
    <cellStyle name="Comma [0] 3 2 2" xfId="185" xr:uid="{E96C7E20-57D5-4EB5-A82F-987CD49D312A}"/>
    <cellStyle name="Comma [0] 3 3" xfId="19" xr:uid="{00000000-0005-0000-0000-000010000000}"/>
    <cellStyle name="Comma [0] 3 3 2" xfId="186" xr:uid="{D19BC7C4-1CF6-4974-BF81-94EB56E65762}"/>
    <cellStyle name="Comma [0] 3 4" xfId="20" xr:uid="{00000000-0005-0000-0000-000011000000}"/>
    <cellStyle name="Comma [0] 3 4 2" xfId="187" xr:uid="{B2CB7D4A-369C-49A9-AF99-BBF66B37670C}"/>
    <cellStyle name="Comma [0] 3 5" xfId="184" xr:uid="{F2B4367F-F0A8-4708-B3C4-AF73575551FE}"/>
    <cellStyle name="Comma [0] 4" xfId="21" xr:uid="{00000000-0005-0000-0000-000012000000}"/>
    <cellStyle name="Comma [0] 4 2" xfId="188" xr:uid="{C8D3CE0F-936A-4827-8ABB-C09E649C1AB1}"/>
    <cellStyle name="Comma [0] 5" xfId="22" xr:uid="{00000000-0005-0000-0000-000013000000}"/>
    <cellStyle name="Comma [0] 5 2" xfId="189" xr:uid="{6B2814D2-8A66-4CE2-8A35-5F3558E50E58}"/>
    <cellStyle name="Comma [0] 6" xfId="23" xr:uid="{00000000-0005-0000-0000-000014000000}"/>
    <cellStyle name="Comma [0] 6 2" xfId="24" xr:uid="{00000000-0005-0000-0000-000015000000}"/>
    <cellStyle name="Comma [0] 6 2 2" xfId="191" xr:uid="{A8326238-C217-499B-BC24-F29C70B21A35}"/>
    <cellStyle name="Comma [0] 6 3" xfId="190" xr:uid="{649DE9D0-C837-448A-ACFC-5EE79903653B}"/>
    <cellStyle name="Comma [0] 7" xfId="171" xr:uid="{CFD59F81-E979-44C1-9976-A5ABD15E1940}"/>
    <cellStyle name="Comma 2" xfId="25" xr:uid="{00000000-0005-0000-0000-000016000000}"/>
    <cellStyle name="Comma 2 2" xfId="26" xr:uid="{00000000-0005-0000-0000-000017000000}"/>
    <cellStyle name="Comma 2 2 2" xfId="193" xr:uid="{A81D702E-9080-4C3C-9E69-525F6B52BA10}"/>
    <cellStyle name="Comma 2 3" xfId="27" xr:uid="{00000000-0005-0000-0000-000018000000}"/>
    <cellStyle name="Comma 2 3 2" xfId="28" xr:uid="{00000000-0005-0000-0000-000019000000}"/>
    <cellStyle name="Comma 2 3 2 2" xfId="195" xr:uid="{42789775-6030-4720-8B23-246AC1AFC743}"/>
    <cellStyle name="Comma 2 3 3" xfId="194" xr:uid="{B877AB56-15F9-4547-9B41-08461C7E63C6}"/>
    <cellStyle name="Comma 2 4" xfId="29" xr:uid="{00000000-0005-0000-0000-00001A000000}"/>
    <cellStyle name="Comma 2 4 2" xfId="196" xr:uid="{C8B56D32-4C03-4F9C-BCAB-156BA5D7C169}"/>
    <cellStyle name="Comma 2 5" xfId="192" xr:uid="{0E3D17E2-7CE8-4A09-8A8A-7B3525B2B9A4}"/>
    <cellStyle name="Comma 3" xfId="30" xr:uid="{00000000-0005-0000-0000-00001B000000}"/>
    <cellStyle name="Comma 3 2" xfId="31" xr:uid="{00000000-0005-0000-0000-00001C000000}"/>
    <cellStyle name="Comma 3 2 2" xfId="32" xr:uid="{00000000-0005-0000-0000-00001D000000}"/>
    <cellStyle name="Comma 3 2 2 2" xfId="199" xr:uid="{245826AD-EE12-448C-B08D-6A31593A29EB}"/>
    <cellStyle name="Comma 3 2 3" xfId="198" xr:uid="{A7EAC0C2-1BB8-49C7-A691-419A8B549818}"/>
    <cellStyle name="Comma 3 3" xfId="33" xr:uid="{00000000-0005-0000-0000-00001E000000}"/>
    <cellStyle name="Comma 3 3 2" xfId="34" xr:uid="{00000000-0005-0000-0000-00001F000000}"/>
    <cellStyle name="Comma 3 3 2 2" xfId="201" xr:uid="{C09D0E4B-11BA-4E2B-8488-7D74F41930F5}"/>
    <cellStyle name="Comma 3 3 3" xfId="200" xr:uid="{48F39163-3A6C-41F3-A427-D04FC0150E50}"/>
    <cellStyle name="Comma 3 4" xfId="35" xr:uid="{00000000-0005-0000-0000-000020000000}"/>
    <cellStyle name="Comma 3 4 2" xfId="202" xr:uid="{F78D40BA-A64C-447E-84E2-2555BEF05A38}"/>
    <cellStyle name="Comma 3 5" xfId="197" xr:uid="{4E1ECE9C-60B5-471E-B48D-D9B6052B3BA8}"/>
    <cellStyle name="Comma 4" xfId="36" xr:uid="{00000000-0005-0000-0000-000021000000}"/>
    <cellStyle name="Comma 4 2" xfId="37" xr:uid="{00000000-0005-0000-0000-000022000000}"/>
    <cellStyle name="Comma 4 2 2" xfId="38" xr:uid="{00000000-0005-0000-0000-000023000000}"/>
    <cellStyle name="Comma 4 2 2 2" xfId="205" xr:uid="{2ABE887F-FDB3-48CF-91EF-CF982971AE2D}"/>
    <cellStyle name="Comma 4 2 3" xfId="204" xr:uid="{9794508E-EACD-42C7-9760-FB011122336D}"/>
    <cellStyle name="Comma 4 3" xfId="39" xr:uid="{00000000-0005-0000-0000-000024000000}"/>
    <cellStyle name="Comma 4 3 2" xfId="206" xr:uid="{BE6DCF8B-B78D-4980-B752-CB23B7AA04CA}"/>
    <cellStyle name="Comma 4 4" xfId="203" xr:uid="{10CF05C5-4ACC-4969-9257-2F8142AB7742}"/>
    <cellStyle name="Comma 5" xfId="40" xr:uid="{00000000-0005-0000-0000-000025000000}"/>
    <cellStyle name="Comma 5 2" xfId="41" xr:uid="{00000000-0005-0000-0000-000026000000}"/>
    <cellStyle name="Comma 5 2 2" xfId="208" xr:uid="{EEFD0415-E597-4B8B-B71E-90622573FDDC}"/>
    <cellStyle name="Comma 5 3" xfId="42" xr:uid="{00000000-0005-0000-0000-000027000000}"/>
    <cellStyle name="Comma 5 3 2" xfId="209" xr:uid="{D3CB5362-495C-40E7-9FA3-4E390B7B2119}"/>
    <cellStyle name="Comma 5 4" xfId="207" xr:uid="{52435570-5B66-4322-A454-4B5C8CE1B71C}"/>
    <cellStyle name="Comma 6" xfId="43" xr:uid="{00000000-0005-0000-0000-000028000000}"/>
    <cellStyle name="Comma 6 2" xfId="210" xr:uid="{D9391A48-E901-4B8B-A17C-2BB2D526B5FE}"/>
    <cellStyle name="Comma 7" xfId="44" xr:uid="{00000000-0005-0000-0000-000029000000}"/>
    <cellStyle name="Comma 7 2" xfId="45" xr:uid="{00000000-0005-0000-0000-00002A000000}"/>
    <cellStyle name="Comma 7 2 2" xfId="212" xr:uid="{A35D1C82-7072-4782-A35D-BE92F46DB0D8}"/>
    <cellStyle name="Comma 7 3" xfId="211" xr:uid="{0D990173-225D-4E18-B7C8-C24850DC1E5A}"/>
    <cellStyle name="Comma 8" xfId="169" xr:uid="{E51E8104-78CA-4826-84CB-AB7B4968D466}"/>
    <cellStyle name="Currency" xfId="2" builtinId="4"/>
    <cellStyle name="Currency [0] 2" xfId="46" xr:uid="{00000000-0005-0000-0000-00002C000000}"/>
    <cellStyle name="Currency [0] 2 2" xfId="47" xr:uid="{00000000-0005-0000-0000-00002D000000}"/>
    <cellStyle name="Currency [0] 2 2 2" xfId="214" xr:uid="{BA6E80D4-A6BA-4564-9262-7FBB1EB9E927}"/>
    <cellStyle name="Currency [0] 2 3" xfId="48" xr:uid="{00000000-0005-0000-0000-00002E000000}"/>
    <cellStyle name="Currency [0] 2 3 2" xfId="215" xr:uid="{674A5A02-7BA4-4766-9F73-DA1F6BA12547}"/>
    <cellStyle name="Currency [0] 2 4" xfId="213" xr:uid="{1F7F3ECD-BA59-4A3A-A394-E16D73D35E4E}"/>
    <cellStyle name="Currency [0] 3" xfId="49" xr:uid="{00000000-0005-0000-0000-00002F000000}"/>
    <cellStyle name="Currency [0] 3 2" xfId="50" xr:uid="{00000000-0005-0000-0000-000030000000}"/>
    <cellStyle name="Currency [0] 3 2 2" xfId="217" xr:uid="{D366ABE3-E751-4C3D-BA22-842ADBEE6951}"/>
    <cellStyle name="Currency [0] 3 3" xfId="51" xr:uid="{00000000-0005-0000-0000-000031000000}"/>
    <cellStyle name="Currency [0] 3 3 2" xfId="218" xr:uid="{99CD74B5-E0DB-4F31-BD0B-9152E7C3CEEF}"/>
    <cellStyle name="Currency [0] 3 4" xfId="216" xr:uid="{85B2AFA4-110C-4E51-AC98-642546C706F6}"/>
    <cellStyle name="Currency [0] 4" xfId="52" xr:uid="{00000000-0005-0000-0000-000032000000}"/>
    <cellStyle name="Currency [0] 4 2" xfId="219" xr:uid="{8371D740-73FA-4489-8CF2-281A66DAEAD1}"/>
    <cellStyle name="Currency 2" xfId="53" xr:uid="{00000000-0005-0000-0000-000033000000}"/>
    <cellStyle name="Currency 2 2" xfId="220" xr:uid="{815C33E5-D402-43D3-BC59-3CAB932DDFDE}"/>
    <cellStyle name="Currency 3" xfId="170" xr:uid="{9C6B379A-2E14-48A0-B190-A65A2354DBB7}"/>
    <cellStyle name="Hyperlink 2" xfId="54" xr:uid="{00000000-0005-0000-0000-000034000000}"/>
    <cellStyle name="Normal" xfId="0" builtinId="0"/>
    <cellStyle name="Normal 10" xfId="55" xr:uid="{00000000-0005-0000-0000-000036000000}"/>
    <cellStyle name="Normal 10 2" xfId="56" xr:uid="{00000000-0005-0000-0000-000037000000}"/>
    <cellStyle name="Normal 10 2 2" xfId="57" xr:uid="{00000000-0005-0000-0000-000038000000}"/>
    <cellStyle name="Normal 10 2 3" xfId="221" xr:uid="{C5177492-9AB0-405D-A546-E74486D8F9C1}"/>
    <cellStyle name="Normal 10 3" xfId="58" xr:uid="{00000000-0005-0000-0000-000039000000}"/>
    <cellStyle name="Normal 11" xfId="59" xr:uid="{00000000-0005-0000-0000-00003A000000}"/>
    <cellStyle name="Normal 11 2" xfId="222" xr:uid="{7BF38221-F516-4BD6-9C76-51770CDCF8D2}"/>
    <cellStyle name="Normal 11 3" xfId="60" xr:uid="{00000000-0005-0000-0000-00003B000000}"/>
    <cellStyle name="Normal 12" xfId="61" xr:uid="{00000000-0005-0000-0000-00003C000000}"/>
    <cellStyle name="Normal 12 2" xfId="223" xr:uid="{F4B99B31-751A-49A8-A2B2-CA44B6BBF1E3}"/>
    <cellStyle name="Normal 13" xfId="62" xr:uid="{00000000-0005-0000-0000-00003D000000}"/>
    <cellStyle name="Normal 13 2" xfId="224" xr:uid="{328CC8D9-B738-4326-9641-1B667C554293}"/>
    <cellStyle name="Normal 14" xfId="63" xr:uid="{00000000-0005-0000-0000-00003E000000}"/>
    <cellStyle name="Normal 14 2" xfId="64" xr:uid="{00000000-0005-0000-0000-00003F000000}"/>
    <cellStyle name="Normal 15" xfId="65" xr:uid="{00000000-0005-0000-0000-000040000000}"/>
    <cellStyle name="Normal 15 2" xfId="66" xr:uid="{00000000-0005-0000-0000-000041000000}"/>
    <cellStyle name="Normal 16" xfId="67" xr:uid="{00000000-0005-0000-0000-000042000000}"/>
    <cellStyle name="Normal 16 2" xfId="225" xr:uid="{C282DE0A-ACAE-4BE7-9B64-3E4081F7C5A4}"/>
    <cellStyle name="Normal 17" xfId="68" xr:uid="{00000000-0005-0000-0000-000043000000}"/>
    <cellStyle name="Normal 2" xfId="69" xr:uid="{00000000-0005-0000-0000-000044000000}"/>
    <cellStyle name="Normal 2 10" xfId="70" xr:uid="{00000000-0005-0000-0000-000045000000}"/>
    <cellStyle name="Normal 2 10 2" xfId="71" xr:uid="{00000000-0005-0000-0000-000046000000}"/>
    <cellStyle name="Normal 2 2" xfId="72" xr:uid="{00000000-0005-0000-0000-000047000000}"/>
    <cellStyle name="Normal 2 2 2" xfId="73" xr:uid="{00000000-0005-0000-0000-000048000000}"/>
    <cellStyle name="Normal 2 2 2 2" xfId="74" xr:uid="{00000000-0005-0000-0000-000049000000}"/>
    <cellStyle name="Normal 2 2 2 2 2" xfId="226" xr:uid="{66D93A61-E432-41C8-B989-BEE0ED11E0AB}"/>
    <cellStyle name="Normal 2 2 2 3" xfId="75" xr:uid="{00000000-0005-0000-0000-00004A000000}"/>
    <cellStyle name="Normal 2 2 3" xfId="76" xr:uid="{00000000-0005-0000-0000-00004B000000}"/>
    <cellStyle name="Normal 2 2 4" xfId="77" xr:uid="{00000000-0005-0000-0000-00004C000000}"/>
    <cellStyle name="Normal 2 2 5" xfId="78" xr:uid="{00000000-0005-0000-0000-00004D000000}"/>
    <cellStyle name="Normal 2 2 5 2" xfId="227" xr:uid="{797BACB5-2A6C-49DC-96B1-0A4AE3F1DAAB}"/>
    <cellStyle name="Normal 2 2 7 2" xfId="79" xr:uid="{00000000-0005-0000-0000-00004E000000}"/>
    <cellStyle name="Normal 2 2 7 2 2" xfId="80" xr:uid="{00000000-0005-0000-0000-00004F000000}"/>
    <cellStyle name="Normal 2 3" xfId="81" xr:uid="{00000000-0005-0000-0000-000050000000}"/>
    <cellStyle name="Normal 2 3 2" xfId="82" xr:uid="{00000000-0005-0000-0000-000051000000}"/>
    <cellStyle name="Normal 2 3 3" xfId="83" xr:uid="{00000000-0005-0000-0000-000052000000}"/>
    <cellStyle name="Normal 2 3 4" xfId="228" xr:uid="{92DFDCFE-2852-4F4D-B8FB-BA6AD08B58B2}"/>
    <cellStyle name="Normal 2 4" xfId="84" xr:uid="{00000000-0005-0000-0000-000053000000}"/>
    <cellStyle name="Normal 2 5" xfId="85" xr:uid="{00000000-0005-0000-0000-000054000000}"/>
    <cellStyle name="Normal 2 5 2" xfId="86" xr:uid="{00000000-0005-0000-0000-000055000000}"/>
    <cellStyle name="Normal 2 6" xfId="87" xr:uid="{00000000-0005-0000-0000-000056000000}"/>
    <cellStyle name="Normal 2 6 2" xfId="88" xr:uid="{00000000-0005-0000-0000-000057000000}"/>
    <cellStyle name="Normal 2 7" xfId="89" xr:uid="{00000000-0005-0000-0000-000058000000}"/>
    <cellStyle name="Normal 2 8" xfId="90" xr:uid="{00000000-0005-0000-0000-000059000000}"/>
    <cellStyle name="Normal 2 9" xfId="91" xr:uid="{00000000-0005-0000-0000-00005A000000}"/>
    <cellStyle name="Normal 2 9 2" xfId="92" xr:uid="{00000000-0005-0000-0000-00005B000000}"/>
    <cellStyle name="Normal 3" xfId="93" xr:uid="{00000000-0005-0000-0000-00005C000000}"/>
    <cellStyle name="Normal 3 10" xfId="94" xr:uid="{00000000-0005-0000-0000-00005D000000}"/>
    <cellStyle name="Normal 3 2" xfId="95" xr:uid="{00000000-0005-0000-0000-00005E000000}"/>
    <cellStyle name="Normal 3 2 2" xfId="96" xr:uid="{00000000-0005-0000-0000-00005F000000}"/>
    <cellStyle name="Normal 3 2 3" xfId="97" xr:uid="{00000000-0005-0000-0000-000060000000}"/>
    <cellStyle name="Normal 3 3" xfId="98" xr:uid="{00000000-0005-0000-0000-000061000000}"/>
    <cellStyle name="Normal 3 3 2" xfId="99" xr:uid="{00000000-0005-0000-0000-000062000000}"/>
    <cellStyle name="Normal 3 4" xfId="100" xr:uid="{00000000-0005-0000-0000-000063000000}"/>
    <cellStyle name="Normal 3 4 2" xfId="229" xr:uid="{3E901FCC-AF3D-41A9-97EF-C14FF4370164}"/>
    <cellStyle name="Normal 3 5" xfId="101" xr:uid="{00000000-0005-0000-0000-000064000000}"/>
    <cellStyle name="Normal 3 5 2" xfId="230" xr:uid="{E3F7F89D-2D0D-494E-AFCA-168F76C5FAE1}"/>
    <cellStyle name="Normal 3 6" xfId="102" xr:uid="{00000000-0005-0000-0000-000065000000}"/>
    <cellStyle name="Normal 3 6 2" xfId="231" xr:uid="{AD5434E6-1DA6-4C02-B054-DCA9B44D71C0}"/>
    <cellStyle name="Normal 3 7" xfId="103" xr:uid="{00000000-0005-0000-0000-000066000000}"/>
    <cellStyle name="Normal 3 7 2" xfId="104" xr:uid="{00000000-0005-0000-0000-000067000000}"/>
    <cellStyle name="Normal 3 7 2 2" xfId="105" xr:uid="{00000000-0005-0000-0000-000068000000}"/>
    <cellStyle name="Normal 3 7 3" xfId="106" xr:uid="{00000000-0005-0000-0000-000069000000}"/>
    <cellStyle name="Normal 3 8" xfId="107" xr:uid="{00000000-0005-0000-0000-00006A000000}"/>
    <cellStyle name="Normal 3 8 2" xfId="108" xr:uid="{00000000-0005-0000-0000-00006B000000}"/>
    <cellStyle name="Normal 3 9" xfId="109" xr:uid="{00000000-0005-0000-0000-00006C000000}"/>
    <cellStyle name="Normal 3 9 2" xfId="232" xr:uid="{5E8DD3A1-F7E4-429E-873C-9FA702E185A4}"/>
    <cellStyle name="Normal 4" xfId="110" xr:uid="{00000000-0005-0000-0000-00006D000000}"/>
    <cellStyle name="Normal 4 2" xfId="111" xr:uid="{00000000-0005-0000-0000-00006E000000}"/>
    <cellStyle name="Normal 4 2 2" xfId="112" xr:uid="{00000000-0005-0000-0000-00006F000000}"/>
    <cellStyle name="Normal 4 2 3" xfId="113" xr:uid="{00000000-0005-0000-0000-000070000000}"/>
    <cellStyle name="Normal 4 3" xfId="114" xr:uid="{00000000-0005-0000-0000-000071000000}"/>
    <cellStyle name="Normal 4 3 2" xfId="115" xr:uid="{00000000-0005-0000-0000-000072000000}"/>
    <cellStyle name="Normal 4 4" xfId="116" xr:uid="{00000000-0005-0000-0000-000073000000}"/>
    <cellStyle name="Normal 4 4 2" xfId="117" xr:uid="{00000000-0005-0000-0000-000074000000}"/>
    <cellStyle name="Normal 4 5" xfId="118" xr:uid="{00000000-0005-0000-0000-000075000000}"/>
    <cellStyle name="Normal 4 5 2" xfId="119" xr:uid="{00000000-0005-0000-0000-000076000000}"/>
    <cellStyle name="Normal 4 6" xfId="120" xr:uid="{00000000-0005-0000-0000-000077000000}"/>
    <cellStyle name="Normal 5" xfId="121" xr:uid="{00000000-0005-0000-0000-000078000000}"/>
    <cellStyle name="Normal 5 2" xfId="122" xr:uid="{00000000-0005-0000-0000-000079000000}"/>
    <cellStyle name="Normal 5 2 2" xfId="123" xr:uid="{00000000-0005-0000-0000-00007A000000}"/>
    <cellStyle name="Normal 5 3" xfId="124" xr:uid="{00000000-0005-0000-0000-00007B000000}"/>
    <cellStyle name="Normal 5 3 2" xfId="125" xr:uid="{00000000-0005-0000-0000-00007C000000}"/>
    <cellStyle name="Normal 5 4" xfId="126" xr:uid="{00000000-0005-0000-0000-00007D000000}"/>
    <cellStyle name="Normal 5 4 2" xfId="127" xr:uid="{00000000-0005-0000-0000-00007E000000}"/>
    <cellStyle name="Normal 5 5" xfId="128" xr:uid="{00000000-0005-0000-0000-00007F000000}"/>
    <cellStyle name="Normal 6" xfId="129" xr:uid="{00000000-0005-0000-0000-000080000000}"/>
    <cellStyle name="Normal 6 2" xfId="130" xr:uid="{00000000-0005-0000-0000-000081000000}"/>
    <cellStyle name="Normal 6 3" xfId="233" xr:uid="{93C1F1FD-DD1F-4C0B-BA64-F16CF31C8DF0}"/>
    <cellStyle name="Normal 7" xfId="131" xr:uid="{00000000-0005-0000-0000-000082000000}"/>
    <cellStyle name="Normal 7 2" xfId="234" xr:uid="{15C5B4D1-9157-4886-AA19-93DF0FB3EA78}"/>
    <cellStyle name="Normal 8" xfId="132" xr:uid="{00000000-0005-0000-0000-000083000000}"/>
    <cellStyle name="Normal 8 2" xfId="235" xr:uid="{D1753DAA-283C-435A-926B-2FD97B53BE82}"/>
    <cellStyle name="Normal 9" xfId="133" xr:uid="{00000000-0005-0000-0000-000084000000}"/>
    <cellStyle name="Normal 9 2" xfId="236" xr:uid="{D6B20DFF-1442-4E6D-A4C1-DFF84A7B31AD}"/>
    <cellStyle name="Percent" xfId="3" builtinId="5"/>
    <cellStyle name="Percent 2" xfId="134" xr:uid="{00000000-0005-0000-0000-000086000000}"/>
    <cellStyle name="Percent 2 2" xfId="135" xr:uid="{00000000-0005-0000-0000-000087000000}"/>
    <cellStyle name="Percent 2 2 2" xfId="136" xr:uid="{00000000-0005-0000-0000-000088000000}"/>
    <cellStyle name="Percent 2 2 2 2" xfId="137" xr:uid="{00000000-0005-0000-0000-000089000000}"/>
    <cellStyle name="Percent 2 2 2 3" xfId="237" xr:uid="{8CA604F1-CAB3-4853-A9C4-95A92B90980B}"/>
    <cellStyle name="Percent 2 3" xfId="138" xr:uid="{00000000-0005-0000-0000-00008A000000}"/>
    <cellStyle name="Percent 2 4" xfId="139" xr:uid="{00000000-0005-0000-0000-00008B000000}"/>
    <cellStyle name="Percent 2 4 2" xfId="238" xr:uid="{8A8F51CD-B3A7-4B04-9F02-300E788FD7B9}"/>
    <cellStyle name="Percent 2 5" xfId="140" xr:uid="{00000000-0005-0000-0000-00008C000000}"/>
    <cellStyle name="Percent 2 5 2" xfId="239" xr:uid="{A2D57CE9-FFC7-4D40-9C9A-3235248D63DA}"/>
    <cellStyle name="Percent 2 6" xfId="141" xr:uid="{00000000-0005-0000-0000-00008D000000}"/>
    <cellStyle name="Percent 3" xfId="142" xr:uid="{00000000-0005-0000-0000-00008E000000}"/>
    <cellStyle name="Percent 3 2" xfId="143" xr:uid="{00000000-0005-0000-0000-00008F000000}"/>
    <cellStyle name="Percent 4" xfId="144" xr:uid="{00000000-0005-0000-0000-000090000000}"/>
    <cellStyle name="Percent 4 2" xfId="145" xr:uid="{00000000-0005-0000-0000-000091000000}"/>
    <cellStyle name="Percent 5" xfId="146" xr:uid="{00000000-0005-0000-0000-000092000000}"/>
    <cellStyle name="Percent 5 2" xfId="147" xr:uid="{00000000-0005-0000-0000-000093000000}"/>
    <cellStyle name="Percent 6" xfId="148" xr:uid="{00000000-0005-0000-0000-000094000000}"/>
    <cellStyle name="Percent 6 2" xfId="240" xr:uid="{D6811759-F3CC-4AFE-9185-B43F21191D79}"/>
    <cellStyle name="Percent 7" xfId="149" xr:uid="{00000000-0005-0000-0000-000095000000}"/>
    <cellStyle name="Percent 7 2" xfId="241" xr:uid="{D391D2C8-1F52-46D4-816C-B80C7F11F0CE}"/>
    <cellStyle name="Percent 8" xfId="150" xr:uid="{00000000-0005-0000-0000-000096000000}"/>
    <cellStyle name="S1" xfId="151" xr:uid="{00000000-0005-0000-0000-000097000000}"/>
    <cellStyle name="S10" xfId="152" xr:uid="{00000000-0005-0000-0000-000098000000}"/>
    <cellStyle name="S11" xfId="153" xr:uid="{00000000-0005-0000-0000-000099000000}"/>
    <cellStyle name="S12" xfId="154" xr:uid="{00000000-0005-0000-0000-00009A000000}"/>
    <cellStyle name="S13" xfId="155" xr:uid="{00000000-0005-0000-0000-00009B000000}"/>
    <cellStyle name="S14" xfId="156" xr:uid="{00000000-0005-0000-0000-00009C000000}"/>
    <cellStyle name="S16" xfId="157" xr:uid="{00000000-0005-0000-0000-00009D000000}"/>
    <cellStyle name="S18" xfId="158" xr:uid="{00000000-0005-0000-0000-00009E000000}"/>
    <cellStyle name="S19" xfId="159" xr:uid="{00000000-0005-0000-0000-00009F000000}"/>
    <cellStyle name="S2" xfId="160" xr:uid="{00000000-0005-0000-0000-0000A0000000}"/>
    <cellStyle name="S20" xfId="161" xr:uid="{00000000-0005-0000-0000-0000A1000000}"/>
    <cellStyle name="S23" xfId="162" xr:uid="{00000000-0005-0000-0000-0000A2000000}"/>
    <cellStyle name="S3" xfId="163" xr:uid="{00000000-0005-0000-0000-0000A3000000}"/>
    <cellStyle name="S4" xfId="164" xr:uid="{00000000-0005-0000-0000-0000A4000000}"/>
    <cellStyle name="S5" xfId="165" xr:uid="{00000000-0005-0000-0000-0000A5000000}"/>
    <cellStyle name="S7" xfId="166" xr:uid="{00000000-0005-0000-0000-0000A6000000}"/>
    <cellStyle name="S8" xfId="167" xr:uid="{00000000-0005-0000-0000-0000A7000000}"/>
    <cellStyle name="S9" xfId="168" xr:uid="{00000000-0005-0000-0000-0000A8000000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8C9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L58"/>
  <sheetViews>
    <sheetView showGridLines="0" zoomScale="70" zoomScaleNormal="70" workbookViewId="0">
      <pane xSplit="1" ySplit="6" topLeftCell="B22" activePane="bottomRight" state="frozen"/>
      <selection pane="topRight" activeCell="B1" sqref="B1"/>
      <selection pane="bottomLeft" activeCell="A7" sqref="A7"/>
      <selection pane="bottomRight" activeCell="F1" sqref="F1:K29"/>
    </sheetView>
  </sheetViews>
  <sheetFormatPr defaultColWidth="9.140625" defaultRowHeight="18" customHeight="1"/>
  <cols>
    <col min="1" max="1" width="2.5703125" style="28" customWidth="1"/>
    <col min="2" max="2" width="20.5703125" style="4" customWidth="1"/>
    <col min="3" max="4" width="11.5703125" style="4" customWidth="1"/>
    <col min="5" max="5" width="2.5703125" style="28" customWidth="1"/>
    <col min="6" max="6" width="35.5703125" style="28" customWidth="1"/>
    <col min="7" max="7" width="10.5703125" style="28" customWidth="1"/>
    <col min="8" max="8" width="35.5703125" style="28" customWidth="1"/>
    <col min="9" max="9" width="24.28515625" style="29" customWidth="1"/>
    <col min="10" max="10" width="22.140625" style="29" customWidth="1"/>
    <col min="11" max="11" width="24.28515625" style="142" customWidth="1"/>
    <col min="12" max="16384" width="9.140625" style="30"/>
  </cols>
  <sheetData>
    <row r="1" spans="1:12" ht="24.95" customHeight="1">
      <c r="F1" s="224" t="s">
        <v>365</v>
      </c>
      <c r="G1" s="224"/>
      <c r="H1" s="224"/>
      <c r="I1" s="224"/>
      <c r="J1" s="224"/>
      <c r="K1" s="224"/>
    </row>
    <row r="2" spans="1:12" ht="24.95" customHeight="1">
      <c r="F2" s="224" t="s">
        <v>51</v>
      </c>
      <c r="G2" s="224"/>
      <c r="H2" s="224"/>
      <c r="I2" s="224"/>
      <c r="J2" s="224"/>
      <c r="K2" s="224"/>
    </row>
    <row r="3" spans="1:12" ht="18" customHeight="1">
      <c r="B3" s="127"/>
      <c r="C3" s="127"/>
      <c r="D3" s="127"/>
      <c r="F3" s="31"/>
      <c r="G3" s="31"/>
      <c r="H3" s="32"/>
      <c r="I3" s="59"/>
      <c r="J3" s="59"/>
      <c r="K3" s="141"/>
    </row>
    <row r="4" spans="1:12" ht="20.100000000000001" customHeight="1">
      <c r="B4" s="220" t="s">
        <v>0</v>
      </c>
      <c r="C4" s="220" t="s">
        <v>296</v>
      </c>
      <c r="D4" s="220" t="s">
        <v>1</v>
      </c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2" ht="20.100000000000001" customHeight="1">
      <c r="B5" s="221"/>
      <c r="C5" s="221"/>
      <c r="D5" s="221"/>
      <c r="F5" s="223"/>
      <c r="G5" s="223"/>
      <c r="H5" s="223"/>
      <c r="I5" s="226"/>
      <c r="J5" s="228"/>
      <c r="K5" s="228"/>
    </row>
    <row r="6" spans="1:12" ht="9.9499999999999993" customHeight="1">
      <c r="A6" s="28" t="s">
        <v>6</v>
      </c>
      <c r="B6" s="73"/>
      <c r="C6" s="73"/>
      <c r="D6" s="73"/>
      <c r="H6" s="34"/>
    </row>
    <row r="7" spans="1:12" ht="18" customHeight="1">
      <c r="A7" s="76" t="s">
        <v>6</v>
      </c>
      <c r="B7" s="35" t="s">
        <v>13</v>
      </c>
      <c r="C7" s="42" t="s">
        <v>13</v>
      </c>
      <c r="D7" s="35" t="s">
        <v>14</v>
      </c>
      <c r="E7" s="76"/>
      <c r="F7" s="81" t="s">
        <v>34</v>
      </c>
      <c r="G7" s="47" t="s">
        <v>10</v>
      </c>
      <c r="H7" s="89" t="s">
        <v>376</v>
      </c>
      <c r="I7" s="91">
        <v>50000000</v>
      </c>
      <c r="J7" s="91"/>
      <c r="K7" s="146">
        <f>SUM(I7:J7)</f>
        <v>50000000</v>
      </c>
      <c r="L7" s="30" t="s">
        <v>362</v>
      </c>
    </row>
    <row r="8" spans="1:12" ht="18" customHeight="1">
      <c r="A8" s="76" t="s">
        <v>6</v>
      </c>
      <c r="B8" s="35" t="s">
        <v>13</v>
      </c>
      <c r="C8" s="42" t="s">
        <v>13</v>
      </c>
      <c r="D8" s="35" t="s">
        <v>8</v>
      </c>
      <c r="E8" s="76"/>
      <c r="F8" s="81" t="s">
        <v>35</v>
      </c>
      <c r="G8" s="47" t="s">
        <v>10</v>
      </c>
      <c r="H8" s="89" t="s">
        <v>36</v>
      </c>
      <c r="I8" s="91">
        <v>270000000</v>
      </c>
      <c r="J8" s="91"/>
      <c r="K8" s="146">
        <f>SUM(I8:J8)</f>
        <v>270000000</v>
      </c>
    </row>
    <row r="9" spans="1:12" ht="18" customHeight="1">
      <c r="A9" s="76" t="s">
        <v>6</v>
      </c>
      <c r="B9" s="35" t="s">
        <v>13</v>
      </c>
      <c r="C9" s="42" t="s">
        <v>13</v>
      </c>
      <c r="D9" s="35" t="s">
        <v>14</v>
      </c>
      <c r="E9" s="76"/>
      <c r="F9" s="129" t="s">
        <v>37</v>
      </c>
      <c r="G9" s="130" t="s">
        <v>10</v>
      </c>
      <c r="H9" s="131" t="s">
        <v>377</v>
      </c>
      <c r="I9" s="133">
        <v>50000000</v>
      </c>
      <c r="J9" s="133"/>
      <c r="K9" s="147">
        <f>SUM(I9:J9)</f>
        <v>50000000</v>
      </c>
      <c r="L9" s="30" t="s">
        <v>362</v>
      </c>
    </row>
    <row r="10" spans="1:12" ht="18" customHeight="1">
      <c r="A10" s="76" t="s">
        <v>6</v>
      </c>
      <c r="B10" s="35"/>
      <c r="C10" s="42" t="s">
        <v>13</v>
      </c>
      <c r="D10" s="35" t="s">
        <v>20</v>
      </c>
      <c r="E10" s="76"/>
      <c r="F10" s="49" t="s">
        <v>39</v>
      </c>
      <c r="G10" s="49" t="s">
        <v>17</v>
      </c>
      <c r="H10" s="50" t="s">
        <v>40</v>
      </c>
      <c r="I10" s="65">
        <f>SUM(I7:I9)</f>
        <v>370000000</v>
      </c>
      <c r="J10" s="65">
        <f>SUM(J7:J9)</f>
        <v>0</v>
      </c>
      <c r="K10" s="65">
        <f>SUM(I10:J10)</f>
        <v>370000000</v>
      </c>
    </row>
    <row r="11" spans="1:12" ht="18" customHeight="1">
      <c r="A11" s="76" t="s">
        <v>6</v>
      </c>
      <c r="B11" s="128"/>
      <c r="C11" s="42"/>
      <c r="D11" s="128"/>
      <c r="E11" s="76"/>
      <c r="F11" s="196"/>
      <c r="G11" s="76"/>
      <c r="H11" s="76"/>
      <c r="I11" s="197"/>
      <c r="J11" s="201"/>
      <c r="K11" s="198"/>
    </row>
    <row r="12" spans="1:12" ht="18" customHeight="1">
      <c r="A12" s="76" t="s">
        <v>6</v>
      </c>
      <c r="B12" s="35" t="s">
        <v>19</v>
      </c>
      <c r="C12" s="42" t="s">
        <v>19</v>
      </c>
      <c r="D12" s="35" t="s">
        <v>14</v>
      </c>
      <c r="E12" s="76"/>
      <c r="F12" s="47" t="s">
        <v>41</v>
      </c>
      <c r="G12" s="47" t="s">
        <v>10</v>
      </c>
      <c r="H12" s="48" t="s">
        <v>42</v>
      </c>
      <c r="I12" s="64">
        <v>30000000</v>
      </c>
      <c r="J12" s="64"/>
      <c r="K12" s="148">
        <f>SUM(I12:J12)</f>
        <v>30000000</v>
      </c>
    </row>
    <row r="13" spans="1:12" ht="18" customHeight="1">
      <c r="A13" s="76" t="s">
        <v>6</v>
      </c>
      <c r="B13" s="35" t="s">
        <v>19</v>
      </c>
      <c r="C13" s="42" t="s">
        <v>19</v>
      </c>
      <c r="D13" s="35" t="s">
        <v>14</v>
      </c>
      <c r="E13" s="76"/>
      <c r="F13" s="81" t="s">
        <v>43</v>
      </c>
      <c r="G13" s="81" t="s">
        <v>10</v>
      </c>
      <c r="H13" s="82" t="s">
        <v>289</v>
      </c>
      <c r="I13" s="86">
        <v>50000000</v>
      </c>
      <c r="J13" s="86"/>
      <c r="K13" s="149">
        <f>SUM(I13:J13)</f>
        <v>50000000</v>
      </c>
    </row>
    <row r="14" spans="1:12" ht="18" customHeight="1">
      <c r="A14" s="76" t="s">
        <v>6</v>
      </c>
      <c r="B14" s="35" t="s">
        <v>19</v>
      </c>
      <c r="C14" s="42" t="s">
        <v>19</v>
      </c>
      <c r="D14" s="35" t="s">
        <v>8</v>
      </c>
      <c r="E14" s="76"/>
      <c r="F14" s="47" t="s">
        <v>44</v>
      </c>
      <c r="G14" s="47" t="s">
        <v>10</v>
      </c>
      <c r="H14" s="82" t="s">
        <v>45</v>
      </c>
      <c r="I14" s="86">
        <v>30000000</v>
      </c>
      <c r="J14" s="86"/>
      <c r="K14" s="149">
        <f>SUM(I14:J14)</f>
        <v>30000000</v>
      </c>
    </row>
    <row r="15" spans="1:12" s="26" customFormat="1" ht="17.45" customHeight="1">
      <c r="A15" s="171" t="s">
        <v>6</v>
      </c>
      <c r="B15" s="172"/>
      <c r="C15" s="42" t="s">
        <v>19</v>
      </c>
      <c r="D15" s="35" t="s">
        <v>15</v>
      </c>
      <c r="E15" s="171"/>
      <c r="F15" s="178" t="s">
        <v>46</v>
      </c>
      <c r="G15" s="178" t="s">
        <v>17</v>
      </c>
      <c r="H15" s="179" t="s">
        <v>344</v>
      </c>
      <c r="I15" s="180">
        <v>0</v>
      </c>
      <c r="J15" s="180">
        <v>0</v>
      </c>
      <c r="K15" s="180">
        <f>SUM(I15:J15)</f>
        <v>0</v>
      </c>
    </row>
    <row r="16" spans="1:12" ht="18" customHeight="1">
      <c r="A16" s="76" t="s">
        <v>6</v>
      </c>
      <c r="B16" s="128"/>
      <c r="C16" s="42"/>
      <c r="D16" s="128"/>
      <c r="E16" s="76"/>
      <c r="F16" s="196"/>
      <c r="G16" s="76"/>
      <c r="H16" s="76"/>
      <c r="I16" s="197"/>
      <c r="J16" s="201"/>
      <c r="K16" s="198"/>
    </row>
    <row r="17" spans="1:12" ht="18" customHeight="1">
      <c r="A17" s="76" t="s">
        <v>6</v>
      </c>
      <c r="B17" s="35" t="s">
        <v>27</v>
      </c>
      <c r="C17" s="35" t="s">
        <v>7</v>
      </c>
      <c r="D17" s="35" t="s">
        <v>15</v>
      </c>
      <c r="E17" s="76"/>
      <c r="F17" s="80" t="s">
        <v>28</v>
      </c>
      <c r="G17" s="80" t="s">
        <v>17</v>
      </c>
      <c r="H17" s="45" t="s">
        <v>18</v>
      </c>
      <c r="I17" s="63">
        <v>65000000</v>
      </c>
      <c r="J17" s="63"/>
      <c r="K17" s="63">
        <f>SUM(I17:J17)</f>
        <v>65000000</v>
      </c>
    </row>
    <row r="18" spans="1:12" ht="18" customHeight="1">
      <c r="A18" s="76" t="s">
        <v>6</v>
      </c>
      <c r="B18" s="128"/>
      <c r="C18" s="35"/>
      <c r="D18" s="128"/>
      <c r="E18" s="76"/>
      <c r="F18" s="196"/>
      <c r="G18" s="76"/>
      <c r="H18" s="76"/>
      <c r="I18" s="197"/>
      <c r="J18" s="201"/>
      <c r="K18" s="198"/>
    </row>
    <row r="19" spans="1:12" ht="18" customHeight="1">
      <c r="A19" s="76" t="s">
        <v>6</v>
      </c>
      <c r="B19" s="125"/>
      <c r="C19" s="35" t="s">
        <v>13</v>
      </c>
      <c r="D19" s="35" t="s">
        <v>24</v>
      </c>
      <c r="E19" s="76"/>
      <c r="F19" s="132" t="s">
        <v>47</v>
      </c>
      <c r="G19" s="132" t="s">
        <v>32</v>
      </c>
      <c r="H19" s="107" t="s">
        <v>48</v>
      </c>
      <c r="I19" s="110">
        <f>I10+I12+I13+I14+I17</f>
        <v>545000000</v>
      </c>
      <c r="J19" s="110">
        <f>J10+J12+J13+J14+J17</f>
        <v>0</v>
      </c>
      <c r="K19" s="110">
        <f>SUM(I19:J19)</f>
        <v>545000000</v>
      </c>
    </row>
    <row r="20" spans="1:12" ht="18" customHeight="1">
      <c r="A20" s="76" t="s">
        <v>6</v>
      </c>
      <c r="B20" s="128"/>
      <c r="C20" s="42"/>
      <c r="D20" s="128"/>
      <c r="E20" s="76"/>
      <c r="F20" s="76"/>
      <c r="G20" s="76"/>
      <c r="H20" s="76"/>
      <c r="I20" s="199"/>
      <c r="J20" s="199"/>
      <c r="K20" s="200"/>
    </row>
    <row r="21" spans="1:12" ht="18" customHeight="1">
      <c r="A21" s="76" t="s">
        <v>6</v>
      </c>
      <c r="B21" s="35" t="s">
        <v>7</v>
      </c>
      <c r="C21" s="35" t="s">
        <v>7</v>
      </c>
      <c r="D21" s="35" t="s">
        <v>8</v>
      </c>
      <c r="E21" s="76"/>
      <c r="F21" s="36" t="s">
        <v>9</v>
      </c>
      <c r="G21" s="36" t="s">
        <v>10</v>
      </c>
      <c r="H21" s="37" t="s">
        <v>11</v>
      </c>
      <c r="I21" s="60">
        <v>135000000</v>
      </c>
      <c r="J21" s="60"/>
      <c r="K21" s="143">
        <f>SUM(I21:J21)</f>
        <v>135000000</v>
      </c>
    </row>
    <row r="22" spans="1:12" ht="18" customHeight="1">
      <c r="A22" s="76" t="s">
        <v>6</v>
      </c>
      <c r="B22" s="35" t="s">
        <v>7</v>
      </c>
      <c r="C22" s="35" t="s">
        <v>7</v>
      </c>
      <c r="D22" s="35" t="s">
        <v>14</v>
      </c>
      <c r="E22" s="76"/>
      <c r="F22" s="36" t="s">
        <v>12</v>
      </c>
      <c r="G22" s="36" t="s">
        <v>10</v>
      </c>
      <c r="H22" s="37" t="s">
        <v>353</v>
      </c>
      <c r="I22" s="60">
        <v>255000000</v>
      </c>
      <c r="J22" s="60"/>
      <c r="K22" s="143">
        <f>SUM(I22:J22)</f>
        <v>255000000</v>
      </c>
    </row>
    <row r="23" spans="1:12" ht="18" customHeight="1">
      <c r="A23" s="76" t="s">
        <v>6</v>
      </c>
      <c r="B23" s="35" t="s">
        <v>7</v>
      </c>
      <c r="C23" s="35" t="s">
        <v>7</v>
      </c>
      <c r="D23" s="35" t="s">
        <v>14</v>
      </c>
      <c r="E23" s="76"/>
      <c r="F23" s="36" t="s">
        <v>22</v>
      </c>
      <c r="G23" s="36" t="s">
        <v>10</v>
      </c>
      <c r="H23" s="37" t="s">
        <v>305</v>
      </c>
      <c r="I23" s="60">
        <v>120000000</v>
      </c>
      <c r="J23" s="60"/>
      <c r="K23" s="143">
        <f>SUM(I23:J23)</f>
        <v>120000000</v>
      </c>
    </row>
    <row r="24" spans="1:12" ht="18" customHeight="1">
      <c r="A24" s="76" t="s">
        <v>6</v>
      </c>
      <c r="B24" s="35" t="s">
        <v>7</v>
      </c>
      <c r="C24" s="35" t="s">
        <v>7</v>
      </c>
      <c r="D24" s="35" t="s">
        <v>8</v>
      </c>
      <c r="E24" s="76"/>
      <c r="F24" s="36" t="s">
        <v>25</v>
      </c>
      <c r="G24" s="36" t="s">
        <v>10</v>
      </c>
      <c r="H24" s="37" t="s">
        <v>371</v>
      </c>
      <c r="I24" s="60">
        <v>85000000</v>
      </c>
      <c r="J24" s="60"/>
      <c r="K24" s="143">
        <f>SUM(I24:J24)</f>
        <v>85000000</v>
      </c>
      <c r="L24" s="30" t="s">
        <v>362</v>
      </c>
    </row>
    <row r="25" spans="1:12" ht="18" customHeight="1">
      <c r="A25" s="76" t="s">
        <v>6</v>
      </c>
      <c r="B25" s="35"/>
      <c r="C25" s="35" t="s">
        <v>7</v>
      </c>
      <c r="D25" s="35" t="s">
        <v>20</v>
      </c>
      <c r="E25" s="76"/>
      <c r="F25" s="43" t="s">
        <v>16</v>
      </c>
      <c r="G25" s="80" t="s">
        <v>17</v>
      </c>
      <c r="H25" s="45" t="s">
        <v>347</v>
      </c>
      <c r="I25" s="63">
        <f>SUM(I21:I24)</f>
        <v>595000000</v>
      </c>
      <c r="J25" s="63">
        <f>SUM(J21:J24)</f>
        <v>0</v>
      </c>
      <c r="K25" s="63">
        <f>SUM(I25:J25)</f>
        <v>595000000</v>
      </c>
    </row>
    <row r="26" spans="1:12" ht="18" customHeight="1">
      <c r="A26" s="76" t="s">
        <v>6</v>
      </c>
      <c r="B26" s="128"/>
      <c r="C26" s="42"/>
      <c r="D26" s="128"/>
      <c r="E26" s="76"/>
      <c r="F26" s="76"/>
      <c r="G26" s="76"/>
      <c r="H26" s="76"/>
      <c r="I26" s="199"/>
      <c r="J26" s="199"/>
      <c r="K26" s="200"/>
    </row>
    <row r="27" spans="1:12" ht="18" customHeight="1">
      <c r="A27" s="76" t="s">
        <v>6</v>
      </c>
      <c r="B27" s="35" t="s">
        <v>30</v>
      </c>
      <c r="C27" s="35" t="s">
        <v>21</v>
      </c>
      <c r="D27" s="35" t="s">
        <v>271</v>
      </c>
      <c r="E27" s="76"/>
      <c r="F27" s="49" t="s">
        <v>358</v>
      </c>
      <c r="G27" s="49" t="s">
        <v>49</v>
      </c>
      <c r="H27" s="50" t="s">
        <v>50</v>
      </c>
      <c r="I27" s="65">
        <v>60000000</v>
      </c>
      <c r="J27" s="65">
        <v>349000000</v>
      </c>
      <c r="K27" s="65">
        <f>SUM(I27:J27)</f>
        <v>409000000</v>
      </c>
    </row>
    <row r="28" spans="1:12" ht="18" customHeight="1">
      <c r="A28" s="76" t="s">
        <v>6</v>
      </c>
      <c r="B28" s="128"/>
      <c r="C28" s="35"/>
      <c r="D28" s="128"/>
      <c r="E28" s="76"/>
      <c r="F28" s="76"/>
      <c r="G28" s="76"/>
      <c r="H28" s="76"/>
      <c r="I28" s="199"/>
      <c r="J28" s="199"/>
      <c r="K28" s="200"/>
    </row>
    <row r="29" spans="1:12" ht="24.95" customHeight="1">
      <c r="A29" s="28" t="s">
        <v>6</v>
      </c>
      <c r="B29" s="125"/>
      <c r="C29" s="35" t="s">
        <v>52</v>
      </c>
      <c r="D29" s="125" t="s">
        <v>31</v>
      </c>
      <c r="F29" s="51" t="s">
        <v>51</v>
      </c>
      <c r="G29" s="51" t="s">
        <v>52</v>
      </c>
      <c r="H29" s="126" t="s">
        <v>53</v>
      </c>
      <c r="I29" s="124">
        <f>I19+I25+I27</f>
        <v>1200000000</v>
      </c>
      <c r="J29" s="124">
        <f>J19+J25+J27</f>
        <v>349000000</v>
      </c>
      <c r="K29" s="124">
        <f>SUM(I29:J29)</f>
        <v>1549000000</v>
      </c>
    </row>
    <row r="37" spans="1:11" s="27" customFormat="1" ht="18" customHeight="1">
      <c r="A37" s="2"/>
      <c r="B37" s="4"/>
      <c r="C37" s="4"/>
      <c r="D37" s="4"/>
      <c r="E37" s="28"/>
      <c r="F37" s="53" t="s">
        <v>54</v>
      </c>
      <c r="G37" s="229" t="s">
        <v>55</v>
      </c>
      <c r="H37" s="229"/>
      <c r="I37" s="67" t="s">
        <v>5</v>
      </c>
      <c r="J37" s="29"/>
      <c r="K37" s="142"/>
    </row>
    <row r="38" spans="1:11" ht="18" customHeight="1">
      <c r="A38" s="4"/>
      <c r="F38" s="54" t="s">
        <v>7</v>
      </c>
      <c r="G38" s="230">
        <f>COUNTIF($B$7:$B$29,"UTM")</f>
        <v>4</v>
      </c>
      <c r="H38" s="230"/>
      <c r="I38" s="67">
        <f>SUMIFS($K$7:$K$29,$B$7:$B$29,F38)</f>
        <v>595000000</v>
      </c>
    </row>
    <row r="39" spans="1:11" ht="18" customHeight="1">
      <c r="A39" s="4"/>
      <c r="F39" s="54" t="s">
        <v>13</v>
      </c>
      <c r="G39" s="230">
        <f>COUNTIF($B$7:$B$29,"SPM")</f>
        <v>3</v>
      </c>
      <c r="H39" s="230"/>
      <c r="I39" s="67">
        <f>SUMIFS($K$7:$K$29,$B$7:$B$29,F39)</f>
        <v>370000000</v>
      </c>
    </row>
    <row r="40" spans="1:11" ht="18" customHeight="1">
      <c r="A40" s="4"/>
      <c r="F40" s="54" t="s">
        <v>19</v>
      </c>
      <c r="G40" s="230">
        <f>COUNTIF($B$7:$B$29,"PMT")</f>
        <v>3</v>
      </c>
      <c r="H40" s="230"/>
      <c r="I40" s="67">
        <f>SUMIFS($K$7:$K$29,$B$7:$B$29,F40)</f>
        <v>110000000</v>
      </c>
    </row>
    <row r="41" spans="1:11" ht="18" customHeight="1">
      <c r="A41" s="4"/>
      <c r="F41" s="54" t="s">
        <v>21</v>
      </c>
      <c r="G41" s="230">
        <f>COUNTIF($B$7:$B$29,"PRM")</f>
        <v>0</v>
      </c>
      <c r="H41" s="230"/>
      <c r="I41" s="67">
        <f>I27</f>
        <v>60000000</v>
      </c>
    </row>
    <row r="42" spans="1:11" ht="18" customHeight="1">
      <c r="A42" s="4"/>
      <c r="F42" s="54" t="s">
        <v>26</v>
      </c>
      <c r="G42" s="230">
        <f>COUNTIF($B$7:$B$29,"COMBO UTM-SPM")</f>
        <v>0</v>
      </c>
      <c r="H42" s="230"/>
      <c r="I42" s="67">
        <f>SUMIFS($K$7:$K$29,$B$7:$B$29,F42)</f>
        <v>0</v>
      </c>
    </row>
    <row r="43" spans="1:11" ht="18" customHeight="1">
      <c r="A43" s="4"/>
      <c r="F43" s="54" t="s">
        <v>27</v>
      </c>
      <c r="G43" s="230">
        <f>COUNTIF($B$7:$B$29,"COMBO UTM-SPM-PMT")</f>
        <v>1</v>
      </c>
      <c r="H43" s="230"/>
      <c r="I43" s="67">
        <f>SUMIFS($K$7:$K$29,$B$7:$B$29,F43)</f>
        <v>65000000</v>
      </c>
    </row>
    <row r="44" spans="1:11" ht="18" customHeight="1">
      <c r="A44" s="4"/>
      <c r="F44" s="54" t="s">
        <v>29</v>
      </c>
      <c r="G44" s="230">
        <f>COUNTIF($B$7:$B$29,"COMBO UTM-SPM-PRM-PNC")</f>
        <v>0</v>
      </c>
      <c r="H44" s="230"/>
      <c r="I44" s="67">
        <f>SUMIFS($K$7:$K$29,$B$7:$B$29,F44)</f>
        <v>0</v>
      </c>
    </row>
    <row r="45" spans="1:11" ht="18" customHeight="1">
      <c r="A45" s="4"/>
      <c r="F45" s="54" t="s">
        <v>30</v>
      </c>
      <c r="G45" s="230">
        <f>COUNTIF($B$7:$B$29,"COMBO PRM-PNC")</f>
        <v>1</v>
      </c>
      <c r="H45" s="230"/>
      <c r="I45" s="67">
        <v>0</v>
      </c>
    </row>
    <row r="46" spans="1:11" ht="18" customHeight="1">
      <c r="A46" s="4"/>
      <c r="F46" s="54" t="s">
        <v>33</v>
      </c>
      <c r="G46" s="230">
        <f>COUNTIF($B$7:$B$29,"COMBO ALL DIV")</f>
        <v>0</v>
      </c>
      <c r="H46" s="230"/>
      <c r="I46" s="67">
        <f>SUMIFS($K$7:$K$29,$B$7:$B$29,F46)</f>
        <v>0</v>
      </c>
    </row>
    <row r="47" spans="1:11" ht="18" customHeight="1">
      <c r="A47" s="4"/>
      <c r="F47" s="54" t="s">
        <v>23</v>
      </c>
      <c r="G47" s="230">
        <f>COUNTIF($B$7:$B$29,"PNC")</f>
        <v>0</v>
      </c>
      <c r="H47" s="230"/>
      <c r="I47" s="67">
        <f>J27</f>
        <v>349000000</v>
      </c>
    </row>
    <row r="48" spans="1:11" ht="18" customHeight="1">
      <c r="A48" s="4"/>
      <c r="F48" s="53" t="s">
        <v>56</v>
      </c>
      <c r="G48" s="231">
        <f>SUM(G38:H47)</f>
        <v>12</v>
      </c>
      <c r="H48" s="231"/>
      <c r="I48" s="67">
        <f>SUM(I38:I47)</f>
        <v>1549000000</v>
      </c>
    </row>
    <row r="50" spans="1:11" s="27" customFormat="1" ht="18" customHeight="1">
      <c r="A50" s="2"/>
      <c r="B50" s="4"/>
      <c r="C50" s="4"/>
      <c r="D50" s="4"/>
      <c r="E50" s="28"/>
      <c r="F50" s="53" t="s">
        <v>3</v>
      </c>
      <c r="G50" s="56" t="s">
        <v>56</v>
      </c>
      <c r="H50" s="56" t="s">
        <v>57</v>
      </c>
      <c r="I50" s="68" t="s">
        <v>58</v>
      </c>
      <c r="J50" s="29"/>
      <c r="K50" s="142"/>
    </row>
    <row r="51" spans="1:11" ht="18" customHeight="1">
      <c r="A51" s="4"/>
      <c r="F51" s="54" t="s">
        <v>10</v>
      </c>
      <c r="G51" s="55">
        <f>COUNTIF($G$7:$G$29,"PS")</f>
        <v>10</v>
      </c>
      <c r="H51" s="57">
        <f>COUNTIF($D$7:$D$29,"PS TERISI")</f>
        <v>4</v>
      </c>
      <c r="I51" s="69">
        <f t="shared" ref="I51:I56" si="0">G51-H51</f>
        <v>6</v>
      </c>
    </row>
    <row r="52" spans="1:11" ht="18" customHeight="1">
      <c r="A52" s="4"/>
      <c r="F52" s="54" t="s">
        <v>100</v>
      </c>
      <c r="G52" s="55">
        <f>COUNTIF($G$7:$G$29,"AE")</f>
        <v>0</v>
      </c>
      <c r="H52" s="57">
        <f>COUNTIF($D$7:$D$29,"AE TERISI")</f>
        <v>0</v>
      </c>
      <c r="I52" s="69">
        <f t="shared" si="0"/>
        <v>0</v>
      </c>
    </row>
    <row r="53" spans="1:11" ht="18" customHeight="1">
      <c r="A53" s="4"/>
      <c r="F53" s="54" t="s">
        <v>49</v>
      </c>
      <c r="G53" s="55">
        <f>COUNTIF($G$7:$G$29,"AM")</f>
        <v>1</v>
      </c>
      <c r="H53" s="57">
        <f>COUNTIF($D$7:$D$29,"AM TERISI")</f>
        <v>1</v>
      </c>
      <c r="I53" s="69">
        <f t="shared" si="0"/>
        <v>0</v>
      </c>
    </row>
    <row r="54" spans="1:11" ht="18" customHeight="1">
      <c r="A54" s="4"/>
      <c r="F54" s="54" t="s">
        <v>17</v>
      </c>
      <c r="G54" s="55">
        <f>COUNTIF($G$7:$G$29,"DM")</f>
        <v>4</v>
      </c>
      <c r="H54" s="57">
        <f>COUNTIF($D$7:$D$29,"DM TERISI")</f>
        <v>2</v>
      </c>
      <c r="I54" s="69">
        <f t="shared" si="0"/>
        <v>2</v>
      </c>
    </row>
    <row r="55" spans="1:11" ht="18" customHeight="1">
      <c r="A55" s="4"/>
      <c r="F55" s="54" t="s">
        <v>32</v>
      </c>
      <c r="G55" s="55">
        <f>COUNTIF($G$7:$G$29,"RSM")</f>
        <v>1</v>
      </c>
      <c r="H55" s="57">
        <f>COUNTIF($D$7:$D$29,"RSM TERISI")</f>
        <v>1</v>
      </c>
      <c r="I55" s="69">
        <f t="shared" si="0"/>
        <v>0</v>
      </c>
    </row>
    <row r="56" spans="1:11" ht="18" customHeight="1">
      <c r="A56" s="4"/>
      <c r="F56" s="54" t="s">
        <v>52</v>
      </c>
      <c r="G56" s="55">
        <f>COUNTIF($G$7:$G$29,"BCO")</f>
        <v>1</v>
      </c>
      <c r="H56" s="57">
        <f>COUNTIF($D$7:$D$29,"BCO TERISI")</f>
        <v>1</v>
      </c>
      <c r="I56" s="69">
        <f t="shared" si="0"/>
        <v>0</v>
      </c>
    </row>
    <row r="57" spans="1:11" ht="18" customHeight="1">
      <c r="A57" s="4"/>
      <c r="F57" s="53" t="s">
        <v>56</v>
      </c>
      <c r="G57" s="56">
        <f>SUM(G51:G56)</f>
        <v>17</v>
      </c>
      <c r="H57" s="56">
        <f>SUM(H51:H56)</f>
        <v>9</v>
      </c>
      <c r="I57" s="68">
        <f>SUM(I51:I56)</f>
        <v>8</v>
      </c>
    </row>
    <row r="58" spans="1:11" ht="18" customHeight="1">
      <c r="A58" s="4"/>
      <c r="H58" s="58">
        <f>H57/G57</f>
        <v>0.52941176470588236</v>
      </c>
      <c r="I58" s="70">
        <f>I57/G57</f>
        <v>0.47058823529411764</v>
      </c>
    </row>
  </sheetData>
  <mergeCells count="23">
    <mergeCell ref="G37:H37"/>
    <mergeCell ref="G38:H38"/>
    <mergeCell ref="G48:H48"/>
    <mergeCell ref="G39:H39"/>
    <mergeCell ref="G40:H40"/>
    <mergeCell ref="G41:H41"/>
    <mergeCell ref="G47:H47"/>
    <mergeCell ref="G46:H46"/>
    <mergeCell ref="G42:H42"/>
    <mergeCell ref="G43:H43"/>
    <mergeCell ref="G44:H44"/>
    <mergeCell ref="G45:H45"/>
    <mergeCell ref="F1:K1"/>
    <mergeCell ref="F2:K2"/>
    <mergeCell ref="H4:H5"/>
    <mergeCell ref="I4:I5"/>
    <mergeCell ref="J4:J5"/>
    <mergeCell ref="K4:K5"/>
    <mergeCell ref="B4:B5"/>
    <mergeCell ref="D4:D5"/>
    <mergeCell ref="F4:F5"/>
    <mergeCell ref="G4:G5"/>
    <mergeCell ref="C4:C5"/>
  </mergeCells>
  <conditionalFormatting sqref="D4">
    <cfRule type="duplicateValues" dxfId="59" priority="7"/>
  </conditionalFormatting>
  <conditionalFormatting sqref="F4">
    <cfRule type="duplicateValues" dxfId="58" priority="6"/>
  </conditionalFormatting>
  <conditionalFormatting sqref="F7:F29">
    <cfRule type="duplicateValues" dxfId="57" priority="9"/>
  </conditionalFormatting>
  <conditionalFormatting sqref="F29">
    <cfRule type="duplicateValues" dxfId="56" priority="5"/>
  </conditionalFormatting>
  <conditionalFormatting sqref="F38:F47">
    <cfRule type="duplicateValues" dxfId="55" priority="2"/>
  </conditionalFormatting>
  <printOptions horizontalCentered="1"/>
  <pageMargins left="0.23622047244094499" right="0.15748031496063" top="0.43307086614173201" bottom="0.39370078740157499" header="0.31496062992126" footer="0.31496062992126"/>
  <pageSetup paperSize="9" scale="72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NAD!$B$5:$B$13</xm:f>
          </x14:formula1>
          <xm:sqref>B7:B29</xm:sqref>
        </x14:dataValidation>
        <x14:dataValidation type="list" allowBlank="1" showInputMessage="1" showErrorMessage="1" xr:uid="{00000000-0002-0000-0000-000001000000}">
          <x14:formula1>
            <xm:f>NAD!$D$5:$D$16</xm:f>
          </x14:formula1>
          <xm:sqref>D7:D29</xm:sqref>
        </x14:dataValidation>
        <x14:dataValidation type="list" allowBlank="1" showInputMessage="1" showErrorMessage="1" xr:uid="{B3A88E5B-EB15-4AC6-9D58-90516ABC82D7}">
          <x14:formula1>
            <xm:f>NAD!$C$5:$C$10</xm:f>
          </x14:formula1>
          <xm:sqref>C7:C29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L60"/>
  <sheetViews>
    <sheetView showGridLines="0" zoomScale="70" zoomScaleNormal="70" workbookViewId="0">
      <pane xSplit="1" ySplit="6" topLeftCell="B18" activePane="bottomRight" state="frozen"/>
      <selection pane="topRight" activeCell="B1" sqref="B1"/>
      <selection pane="bottomLeft" activeCell="A7" sqref="A7"/>
      <selection pane="bottomRight" activeCell="F1" sqref="F1:K27"/>
    </sheetView>
  </sheetViews>
  <sheetFormatPr defaultColWidth="9.140625" defaultRowHeight="18" customHeight="1"/>
  <cols>
    <col min="1" max="1" width="2.5703125" style="28" customWidth="1"/>
    <col min="2" max="2" width="20.5703125" style="33" customWidth="1"/>
    <col min="3" max="4" width="11.5703125" style="33" customWidth="1"/>
    <col min="5" max="5" width="2.5703125" style="28" customWidth="1"/>
    <col min="6" max="6" width="35.5703125" style="28" customWidth="1"/>
    <col min="7" max="7" width="10.5703125" style="28" customWidth="1"/>
    <col min="8" max="8" width="35.5703125" style="28" customWidth="1"/>
    <col min="9" max="9" width="22.140625" style="29" customWidth="1"/>
    <col min="10" max="10" width="22.140625" style="136" customWidth="1"/>
    <col min="11" max="11" width="24.28515625" style="142" customWidth="1"/>
    <col min="12" max="12" width="7" style="30" customWidth="1"/>
    <col min="13" max="16384" width="9.140625" style="30"/>
  </cols>
  <sheetData>
    <row r="1" spans="1:12" ht="24.95" customHeight="1">
      <c r="F1" s="224" t="s">
        <v>365</v>
      </c>
      <c r="G1" s="224"/>
      <c r="H1" s="224"/>
      <c r="I1" s="224"/>
      <c r="J1" s="224"/>
      <c r="K1" s="224"/>
    </row>
    <row r="2" spans="1:12" ht="24.95" customHeight="1">
      <c r="B2" s="73"/>
      <c r="C2" s="73"/>
      <c r="D2" s="73"/>
      <c r="F2" s="224" t="s">
        <v>82</v>
      </c>
      <c r="G2" s="224"/>
      <c r="H2" s="224"/>
      <c r="I2" s="224"/>
      <c r="J2" s="224"/>
      <c r="K2" s="224"/>
    </row>
    <row r="3" spans="1:12" ht="18" customHeight="1">
      <c r="B3" s="127"/>
      <c r="C3" s="127"/>
      <c r="D3" s="127"/>
      <c r="F3" s="31"/>
      <c r="G3" s="31"/>
      <c r="H3" s="32"/>
      <c r="I3" s="59"/>
      <c r="J3" s="59"/>
      <c r="K3" s="141"/>
    </row>
    <row r="4" spans="1:12" ht="20.100000000000001" customHeight="1">
      <c r="B4" s="220" t="s">
        <v>0</v>
      </c>
      <c r="C4" s="220" t="s">
        <v>296</v>
      </c>
      <c r="D4" s="220" t="s">
        <v>1</v>
      </c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2" ht="20.100000000000001" customHeight="1">
      <c r="B5" s="221"/>
      <c r="C5" s="221"/>
      <c r="D5" s="221"/>
      <c r="F5" s="223"/>
      <c r="G5" s="223"/>
      <c r="H5" s="223"/>
      <c r="I5" s="226"/>
      <c r="J5" s="228"/>
      <c r="K5" s="228"/>
    </row>
    <row r="6" spans="1:12" ht="9.9499999999999993" customHeight="1">
      <c r="A6" s="28" t="s">
        <v>6</v>
      </c>
      <c r="H6" s="34"/>
      <c r="J6" s="29"/>
    </row>
    <row r="7" spans="1:12" ht="18" customHeight="1">
      <c r="A7" s="76" t="s">
        <v>6</v>
      </c>
      <c r="B7" s="35" t="s">
        <v>13</v>
      </c>
      <c r="C7" s="35" t="s">
        <v>13</v>
      </c>
      <c r="D7" s="35" t="s">
        <v>14</v>
      </c>
      <c r="E7" s="76"/>
      <c r="F7" s="77" t="s">
        <v>70</v>
      </c>
      <c r="G7" s="77" t="s">
        <v>10</v>
      </c>
      <c r="H7" s="82" t="s">
        <v>378</v>
      </c>
      <c r="I7" s="87">
        <v>237000000</v>
      </c>
      <c r="J7" s="87"/>
      <c r="K7" s="153">
        <f t="shared" ref="K7:K10" si="0">SUM(I7:J7)</f>
        <v>237000000</v>
      </c>
      <c r="L7" s="30" t="s">
        <v>362</v>
      </c>
    </row>
    <row r="8" spans="1:12" ht="18" customHeight="1">
      <c r="A8" s="76" t="s">
        <v>6</v>
      </c>
      <c r="B8" s="35" t="s">
        <v>13</v>
      </c>
      <c r="C8" s="35" t="s">
        <v>13</v>
      </c>
      <c r="D8" s="35" t="s">
        <v>8</v>
      </c>
      <c r="E8" s="76"/>
      <c r="F8" s="81" t="s">
        <v>71</v>
      </c>
      <c r="G8" s="81" t="s">
        <v>10</v>
      </c>
      <c r="H8" s="82" t="s">
        <v>72</v>
      </c>
      <c r="I8" s="91">
        <v>50500000</v>
      </c>
      <c r="J8" s="91"/>
      <c r="K8" s="146">
        <f t="shared" si="0"/>
        <v>50500000</v>
      </c>
    </row>
    <row r="9" spans="1:12" ht="18" customHeight="1">
      <c r="A9" s="76" t="s">
        <v>6</v>
      </c>
      <c r="B9" s="42" t="s">
        <v>26</v>
      </c>
      <c r="C9" s="42" t="s">
        <v>7</v>
      </c>
      <c r="D9" s="35" t="s">
        <v>8</v>
      </c>
      <c r="E9" s="76"/>
      <c r="F9" s="77" t="s">
        <v>73</v>
      </c>
      <c r="G9" s="81" t="s">
        <v>10</v>
      </c>
      <c r="H9" s="82" t="s">
        <v>74</v>
      </c>
      <c r="I9" s="91">
        <v>80000000</v>
      </c>
      <c r="J9" s="91"/>
      <c r="K9" s="146">
        <f t="shared" si="0"/>
        <v>80000000</v>
      </c>
    </row>
    <row r="10" spans="1:12" ht="18" customHeight="1">
      <c r="A10" s="76" t="s">
        <v>6</v>
      </c>
      <c r="B10" s="42"/>
      <c r="C10" s="42" t="s">
        <v>7</v>
      </c>
      <c r="D10" s="35" t="s">
        <v>20</v>
      </c>
      <c r="E10" s="76"/>
      <c r="F10" s="43" t="s">
        <v>75</v>
      </c>
      <c r="G10" s="49" t="s">
        <v>17</v>
      </c>
      <c r="H10" s="50" t="s">
        <v>79</v>
      </c>
      <c r="I10" s="65">
        <f>SUM(I7:I9)</f>
        <v>367500000</v>
      </c>
      <c r="J10" s="65">
        <f>SUM(J7:J9)</f>
        <v>0</v>
      </c>
      <c r="K10" s="65">
        <f t="shared" si="0"/>
        <v>367500000</v>
      </c>
      <c r="L10" s="30" t="s">
        <v>362</v>
      </c>
    </row>
    <row r="11" spans="1:12" ht="18" customHeight="1">
      <c r="A11" s="76" t="s">
        <v>6</v>
      </c>
      <c r="B11" s="35"/>
      <c r="C11" s="35"/>
      <c r="D11" s="35"/>
      <c r="E11" s="76"/>
      <c r="F11" s="196"/>
      <c r="G11" s="76"/>
      <c r="H11" s="76"/>
      <c r="I11" s="197"/>
      <c r="J11" s="197"/>
      <c r="K11" s="198"/>
    </row>
    <row r="12" spans="1:12" ht="18" customHeight="1">
      <c r="A12" s="76" t="s">
        <v>6</v>
      </c>
      <c r="B12" s="35" t="s">
        <v>19</v>
      </c>
      <c r="C12" s="35" t="s">
        <v>19</v>
      </c>
      <c r="D12" s="35" t="s">
        <v>14</v>
      </c>
      <c r="E12" s="76"/>
      <c r="F12" s="93" t="s">
        <v>76</v>
      </c>
      <c r="G12" s="81" t="s">
        <v>10</v>
      </c>
      <c r="H12" s="82" t="s">
        <v>356</v>
      </c>
      <c r="I12" s="86">
        <v>40000000</v>
      </c>
      <c r="J12" s="86"/>
      <c r="K12" s="149">
        <f>SUM(I12:J12)</f>
        <v>40000000</v>
      </c>
    </row>
    <row r="13" spans="1:12" ht="18" customHeight="1">
      <c r="A13" s="76" t="s">
        <v>6</v>
      </c>
      <c r="B13" s="35" t="s">
        <v>19</v>
      </c>
      <c r="C13" s="35" t="s">
        <v>19</v>
      </c>
      <c r="D13" s="35" t="s">
        <v>8</v>
      </c>
      <c r="E13" s="76"/>
      <c r="F13" s="93" t="s">
        <v>297</v>
      </c>
      <c r="G13" s="81" t="s">
        <v>10</v>
      </c>
      <c r="H13" s="168" t="s">
        <v>77</v>
      </c>
      <c r="I13" s="169">
        <v>20000000</v>
      </c>
      <c r="J13" s="169"/>
      <c r="K13" s="170">
        <f>SUM(I13:J13)</f>
        <v>20000000</v>
      </c>
    </row>
    <row r="14" spans="1:12" ht="18.600000000000001" customHeight="1">
      <c r="A14" s="76" t="s">
        <v>6</v>
      </c>
      <c r="B14" s="42"/>
      <c r="C14" s="35" t="s">
        <v>19</v>
      </c>
      <c r="D14" s="35" t="s">
        <v>20</v>
      </c>
      <c r="E14" s="76"/>
      <c r="F14" s="90" t="s">
        <v>78</v>
      </c>
      <c r="G14" s="90" t="s">
        <v>17</v>
      </c>
      <c r="H14" s="50" t="s">
        <v>79</v>
      </c>
      <c r="I14" s="65">
        <f>SUM(I12:I13)</f>
        <v>60000000</v>
      </c>
      <c r="J14" s="65">
        <f>SUM(J12:J13)</f>
        <v>0</v>
      </c>
      <c r="K14" s="65">
        <f>SUM(I14:J14)</f>
        <v>60000000</v>
      </c>
    </row>
    <row r="15" spans="1:12" ht="18" customHeight="1">
      <c r="A15" s="76" t="s">
        <v>6</v>
      </c>
      <c r="B15" s="35"/>
      <c r="C15" s="35"/>
      <c r="D15" s="35"/>
      <c r="E15" s="76"/>
      <c r="F15" s="196"/>
      <c r="G15" s="76"/>
      <c r="H15" s="76"/>
      <c r="I15" s="197"/>
      <c r="J15" s="197"/>
      <c r="K15" s="198"/>
    </row>
    <row r="16" spans="1:12" ht="18" customHeight="1">
      <c r="A16" s="76" t="s">
        <v>6</v>
      </c>
      <c r="B16" s="42" t="s">
        <v>33</v>
      </c>
      <c r="C16" s="42" t="s">
        <v>7</v>
      </c>
      <c r="D16" s="35" t="s">
        <v>15</v>
      </c>
      <c r="E16" s="76"/>
      <c r="F16" s="49" t="s">
        <v>69</v>
      </c>
      <c r="G16" s="49" t="s">
        <v>17</v>
      </c>
      <c r="H16" s="50" t="s">
        <v>18</v>
      </c>
      <c r="I16" s="65">
        <v>52500000</v>
      </c>
      <c r="J16" s="65"/>
      <c r="K16" s="65">
        <f>SUM(I16:J16)</f>
        <v>52500000</v>
      </c>
    </row>
    <row r="17" spans="1:12" ht="18" customHeight="1">
      <c r="A17" s="76" t="s">
        <v>6</v>
      </c>
      <c r="B17" s="35"/>
      <c r="C17" s="35"/>
      <c r="D17" s="35"/>
      <c r="E17" s="76"/>
      <c r="F17" s="196"/>
      <c r="G17" s="76"/>
      <c r="H17" s="76"/>
      <c r="I17" s="197"/>
      <c r="J17" s="197"/>
      <c r="K17" s="198"/>
    </row>
    <row r="18" spans="1:12" ht="18" customHeight="1">
      <c r="A18" s="76" t="s">
        <v>6</v>
      </c>
      <c r="B18" s="42"/>
      <c r="C18" s="42" t="s">
        <v>13</v>
      </c>
      <c r="D18" s="42" t="s">
        <v>24</v>
      </c>
      <c r="E18" s="76"/>
      <c r="F18" s="106" t="s">
        <v>80</v>
      </c>
      <c r="G18" s="106" t="s">
        <v>32</v>
      </c>
      <c r="H18" s="107" t="s">
        <v>81</v>
      </c>
      <c r="I18" s="110">
        <f>I10+I14+I16</f>
        <v>480000000</v>
      </c>
      <c r="J18" s="110">
        <f>J10+J14+J16</f>
        <v>0</v>
      </c>
      <c r="K18" s="110">
        <f>SUM(I18:J18)</f>
        <v>480000000</v>
      </c>
    </row>
    <row r="19" spans="1:12" ht="18" customHeight="1">
      <c r="A19" s="76" t="s">
        <v>6</v>
      </c>
      <c r="B19" s="35"/>
      <c r="C19" s="35"/>
      <c r="D19" s="35"/>
      <c r="E19" s="76"/>
      <c r="F19" s="202"/>
      <c r="G19" s="202"/>
      <c r="H19" s="202"/>
      <c r="I19" s="201"/>
      <c r="J19" s="201"/>
      <c r="K19" s="203"/>
    </row>
    <row r="20" spans="1:12" ht="18" customHeight="1">
      <c r="A20" s="76" t="s">
        <v>6</v>
      </c>
      <c r="B20" s="35" t="s">
        <v>7</v>
      </c>
      <c r="C20" s="35" t="s">
        <v>7</v>
      </c>
      <c r="D20" s="35" t="s">
        <v>8</v>
      </c>
      <c r="E20" s="76"/>
      <c r="F20" s="77" t="s">
        <v>60</v>
      </c>
      <c r="G20" s="77" t="s">
        <v>10</v>
      </c>
      <c r="H20" s="84" t="s">
        <v>61</v>
      </c>
      <c r="I20" s="87">
        <v>70000000</v>
      </c>
      <c r="J20" s="87"/>
      <c r="K20" s="153">
        <f>SUM(I20:J20)</f>
        <v>70000000</v>
      </c>
    </row>
    <row r="21" spans="1:12" ht="18" customHeight="1">
      <c r="A21" s="76" t="s">
        <v>6</v>
      </c>
      <c r="B21" s="35" t="s">
        <v>7</v>
      </c>
      <c r="C21" s="35" t="s">
        <v>7</v>
      </c>
      <c r="D21" s="35" t="s">
        <v>14</v>
      </c>
      <c r="E21" s="76"/>
      <c r="F21" s="195" t="s">
        <v>62</v>
      </c>
      <c r="G21" s="77" t="s">
        <v>10</v>
      </c>
      <c r="H21" s="84" t="s">
        <v>373</v>
      </c>
      <c r="I21" s="85">
        <v>150000000</v>
      </c>
      <c r="J21" s="85"/>
      <c r="K21" s="153">
        <f t="shared" ref="K21:K25" si="1">SUM(I21:J21)</f>
        <v>150000000</v>
      </c>
      <c r="L21" s="30" t="s">
        <v>362</v>
      </c>
    </row>
    <row r="22" spans="1:12" ht="18" customHeight="1">
      <c r="A22" s="76" t="s">
        <v>6</v>
      </c>
      <c r="B22" s="35" t="s">
        <v>7</v>
      </c>
      <c r="C22" s="35" t="s">
        <v>7</v>
      </c>
      <c r="D22" s="35" t="s">
        <v>8</v>
      </c>
      <c r="E22" s="76"/>
      <c r="F22" s="195" t="s">
        <v>64</v>
      </c>
      <c r="G22" s="77" t="s">
        <v>10</v>
      </c>
      <c r="H22" s="84" t="s">
        <v>63</v>
      </c>
      <c r="I22" s="85">
        <v>80000000</v>
      </c>
      <c r="J22" s="85"/>
      <c r="K22" s="153">
        <f t="shared" si="1"/>
        <v>80000000</v>
      </c>
    </row>
    <row r="23" spans="1:12" ht="18" customHeight="1">
      <c r="A23" s="76" t="s">
        <v>6</v>
      </c>
      <c r="B23" s="42" t="s">
        <v>26</v>
      </c>
      <c r="C23" s="35" t="s">
        <v>7</v>
      </c>
      <c r="D23" s="35" t="s">
        <v>8</v>
      </c>
      <c r="E23" s="76"/>
      <c r="F23" s="77" t="s">
        <v>65</v>
      </c>
      <c r="G23" s="77" t="s">
        <v>10</v>
      </c>
      <c r="H23" s="84" t="s">
        <v>66</v>
      </c>
      <c r="I23" s="87">
        <v>70000000</v>
      </c>
      <c r="J23" s="87"/>
      <c r="K23" s="153">
        <f t="shared" si="1"/>
        <v>70000000</v>
      </c>
    </row>
    <row r="24" spans="1:12" ht="18" customHeight="1">
      <c r="A24" s="76" t="s">
        <v>6</v>
      </c>
      <c r="B24" s="42" t="s">
        <v>30</v>
      </c>
      <c r="C24" s="42" t="s">
        <v>21</v>
      </c>
      <c r="D24" s="42" t="s">
        <v>270</v>
      </c>
      <c r="E24" s="76"/>
      <c r="F24" s="81" t="s">
        <v>348</v>
      </c>
      <c r="G24" s="81" t="s">
        <v>100</v>
      </c>
      <c r="H24" s="82" t="s">
        <v>38</v>
      </c>
      <c r="I24" s="86">
        <v>100000000</v>
      </c>
      <c r="J24" s="86">
        <v>349000000</v>
      </c>
      <c r="K24" s="149">
        <f>SUM(I24:J24)</f>
        <v>449000000</v>
      </c>
    </row>
    <row r="25" spans="1:12" ht="18" customHeight="1">
      <c r="A25" s="76" t="s">
        <v>6</v>
      </c>
      <c r="B25" s="35"/>
      <c r="C25" s="35" t="s">
        <v>7</v>
      </c>
      <c r="D25" s="35" t="s">
        <v>20</v>
      </c>
      <c r="E25" s="76"/>
      <c r="F25" s="43" t="s">
        <v>67</v>
      </c>
      <c r="G25" s="80" t="s">
        <v>17</v>
      </c>
      <c r="H25" s="45" t="s">
        <v>68</v>
      </c>
      <c r="I25" s="63">
        <f>SUM(I20:I24)</f>
        <v>470000000</v>
      </c>
      <c r="J25" s="63">
        <f>SUM(J20:J24)</f>
        <v>349000000</v>
      </c>
      <c r="K25" s="63">
        <f t="shared" si="1"/>
        <v>819000000</v>
      </c>
    </row>
    <row r="26" spans="1:12" ht="18" customHeight="1">
      <c r="A26" s="76" t="s">
        <v>6</v>
      </c>
      <c r="B26" s="35"/>
      <c r="C26" s="35"/>
      <c r="D26" s="35"/>
      <c r="E26" s="76"/>
      <c r="F26" s="202"/>
      <c r="G26" s="202"/>
      <c r="H26" s="202"/>
      <c r="I26" s="201"/>
      <c r="J26" s="201"/>
      <c r="K26" s="203"/>
    </row>
    <row r="27" spans="1:12" ht="24.95" customHeight="1">
      <c r="A27" s="28" t="s">
        <v>6</v>
      </c>
      <c r="B27" s="42"/>
      <c r="C27" s="42" t="s">
        <v>52</v>
      </c>
      <c r="D27" s="42" t="s">
        <v>31</v>
      </c>
      <c r="F27" s="51" t="s">
        <v>82</v>
      </c>
      <c r="G27" s="51" t="s">
        <v>52</v>
      </c>
      <c r="H27" s="126" t="s">
        <v>83</v>
      </c>
      <c r="I27" s="124">
        <f>I18+I25</f>
        <v>950000000</v>
      </c>
      <c r="J27" s="124">
        <f>J25</f>
        <v>349000000</v>
      </c>
      <c r="K27" s="124">
        <f>SUM(I27:J27)</f>
        <v>1299000000</v>
      </c>
    </row>
    <row r="35" spans="1:11" s="27" customFormat="1" ht="18" customHeight="1">
      <c r="A35" s="2"/>
      <c r="B35" s="73"/>
      <c r="C35" s="73"/>
      <c r="D35" s="73"/>
      <c r="E35" s="28"/>
      <c r="F35" s="53" t="s">
        <v>54</v>
      </c>
      <c r="G35" s="229" t="s">
        <v>55</v>
      </c>
      <c r="H35" s="229"/>
      <c r="I35" s="67" t="s">
        <v>5</v>
      </c>
      <c r="J35" s="137"/>
      <c r="K35" s="142"/>
    </row>
    <row r="36" spans="1:11" ht="18" customHeight="1">
      <c r="A36" s="4"/>
      <c r="B36" s="73"/>
      <c r="C36" s="73"/>
      <c r="D36" s="73"/>
      <c r="F36" s="54" t="s">
        <v>7</v>
      </c>
      <c r="G36" s="230">
        <f>COUNTIF($B$20:$B$27,"UTM")</f>
        <v>3</v>
      </c>
      <c r="H36" s="230"/>
      <c r="I36" s="67">
        <f>SUMIFS($K$7:$K$27,$B$7:$B$27,F36)</f>
        <v>300000000</v>
      </c>
      <c r="J36" s="137"/>
    </row>
    <row r="37" spans="1:11" ht="18" customHeight="1">
      <c r="A37" s="4"/>
      <c r="B37" s="73"/>
      <c r="C37" s="73"/>
      <c r="D37" s="73"/>
      <c r="F37" s="54" t="s">
        <v>13</v>
      </c>
      <c r="G37" s="230">
        <f>COUNTIF($B$20:$B$27,"SPM")</f>
        <v>0</v>
      </c>
      <c r="H37" s="230"/>
      <c r="I37" s="67">
        <f>SUMIFS($K$7:$K$27,$B$7:$B$27,F37)</f>
        <v>287500000</v>
      </c>
      <c r="J37" s="137"/>
    </row>
    <row r="38" spans="1:11" ht="18" customHeight="1">
      <c r="A38" s="4"/>
      <c r="B38" s="73"/>
      <c r="C38" s="73"/>
      <c r="D38" s="73"/>
      <c r="F38" s="54" t="s">
        <v>19</v>
      </c>
      <c r="G38" s="230">
        <f>COUNTIF($B$20:$B$27,"PMT")</f>
        <v>0</v>
      </c>
      <c r="H38" s="230"/>
      <c r="I38" s="67">
        <f>SUMIFS($K$7:$K$27,$B$7:$B$27,F38)</f>
        <v>60000000</v>
      </c>
      <c r="J38" s="137"/>
    </row>
    <row r="39" spans="1:11" ht="18" customHeight="1">
      <c r="A39" s="4"/>
      <c r="B39" s="73"/>
      <c r="C39" s="73"/>
      <c r="D39" s="73"/>
      <c r="F39" s="54" t="s">
        <v>21</v>
      </c>
      <c r="G39" s="230">
        <f>COUNTIF($B$20:$B$27,"PRM")</f>
        <v>0</v>
      </c>
      <c r="H39" s="230"/>
      <c r="I39" s="67">
        <f>I24</f>
        <v>100000000</v>
      </c>
      <c r="J39" s="137"/>
    </row>
    <row r="40" spans="1:11" ht="18" customHeight="1">
      <c r="A40" s="4"/>
      <c r="B40" s="73"/>
      <c r="C40" s="73"/>
      <c r="D40" s="73"/>
      <c r="F40" s="54" t="s">
        <v>26</v>
      </c>
      <c r="G40" s="230">
        <f>COUNTIF($B$20:$B$27,"COMBO UTM-SPM")</f>
        <v>1</v>
      </c>
      <c r="H40" s="230"/>
      <c r="I40" s="67">
        <f>SUMIFS($K$7:$K$27,$B$7:$B$27,F40)</f>
        <v>150000000</v>
      </c>
      <c r="J40" s="137"/>
    </row>
    <row r="41" spans="1:11" ht="18" customHeight="1">
      <c r="A41" s="4"/>
      <c r="B41" s="73"/>
      <c r="C41" s="73"/>
      <c r="D41" s="73"/>
      <c r="F41" s="54" t="s">
        <v>27</v>
      </c>
      <c r="G41" s="230">
        <f>COUNTIF($B$20:$B$27,"COMBO UTM-SPM-PMT")</f>
        <v>0</v>
      </c>
      <c r="H41" s="230"/>
      <c r="I41" s="67">
        <f>SUMIFS($K$7:$K$27,$B$7:$B$27,F41)</f>
        <v>0</v>
      </c>
      <c r="J41" s="137"/>
    </row>
    <row r="42" spans="1:11" ht="18" customHeight="1">
      <c r="A42" s="4"/>
      <c r="B42" s="73"/>
      <c r="C42" s="73"/>
      <c r="D42" s="73"/>
      <c r="F42" s="54" t="s">
        <v>29</v>
      </c>
      <c r="G42" s="230">
        <f>COUNTIF($B$20:$B$27,"COMBO UTM-SPM-PRM-PNC")</f>
        <v>0</v>
      </c>
      <c r="H42" s="230"/>
      <c r="I42" s="67">
        <f>SUMIFS($K$7:$K$27,$B$7:$B$27,F42)</f>
        <v>0</v>
      </c>
      <c r="J42" s="137"/>
    </row>
    <row r="43" spans="1:11" ht="18" customHeight="1">
      <c r="A43" s="4"/>
      <c r="B43" s="73"/>
      <c r="C43" s="73"/>
      <c r="D43" s="73"/>
      <c r="F43" s="54" t="s">
        <v>30</v>
      </c>
      <c r="G43" s="230">
        <f>COUNTIF($B$20:$B$27,"COMBO PRM-PNC")</f>
        <v>1</v>
      </c>
      <c r="H43" s="230"/>
      <c r="I43" s="67">
        <v>0</v>
      </c>
      <c r="J43" s="137"/>
    </row>
    <row r="44" spans="1:11" ht="18" customHeight="1">
      <c r="A44" s="4"/>
      <c r="B44" s="73"/>
      <c r="C44" s="73"/>
      <c r="D44" s="73"/>
      <c r="F44" s="54" t="s">
        <v>33</v>
      </c>
      <c r="G44" s="230">
        <f>COUNTIF($B$20:$B$27,"COMBO ALL DIV")</f>
        <v>0</v>
      </c>
      <c r="H44" s="230"/>
      <c r="I44" s="67">
        <f>SUMIFS($K$7:$K$27,$B$7:$B$27,F44)</f>
        <v>52500000</v>
      </c>
      <c r="J44" s="137"/>
    </row>
    <row r="45" spans="1:11" ht="18" customHeight="1">
      <c r="A45" s="4"/>
      <c r="B45" s="73"/>
      <c r="C45" s="73"/>
      <c r="D45" s="73"/>
      <c r="F45" s="54" t="s">
        <v>23</v>
      </c>
      <c r="G45" s="230">
        <f>COUNTIF($B$20:$B$27,"PNC")</f>
        <v>0</v>
      </c>
      <c r="H45" s="230"/>
      <c r="I45" s="67">
        <f>J24</f>
        <v>349000000</v>
      </c>
      <c r="J45" s="137"/>
    </row>
    <row r="46" spans="1:11" ht="18" customHeight="1">
      <c r="A46" s="4"/>
      <c r="B46" s="73"/>
      <c r="C46" s="73"/>
      <c r="D46" s="73"/>
      <c r="F46" s="53" t="s">
        <v>56</v>
      </c>
      <c r="G46" s="231">
        <f>SUM(G36:H45)</f>
        <v>5</v>
      </c>
      <c r="H46" s="231"/>
      <c r="I46" s="67">
        <f>SUM(I36:I45)</f>
        <v>1299000000</v>
      </c>
      <c r="J46" s="137"/>
    </row>
    <row r="47" spans="1:11" ht="18" customHeight="1">
      <c r="B47" s="73"/>
      <c r="C47" s="73"/>
      <c r="D47" s="73"/>
    </row>
    <row r="48" spans="1:11" s="27" customFormat="1" ht="18" customHeight="1">
      <c r="A48" s="2"/>
      <c r="B48" s="73"/>
      <c r="C48" s="73"/>
      <c r="D48" s="73"/>
      <c r="E48" s="28"/>
      <c r="F48" s="53" t="s">
        <v>3</v>
      </c>
      <c r="G48" s="56" t="s">
        <v>56</v>
      </c>
      <c r="H48" s="56" t="s">
        <v>57</v>
      </c>
      <c r="I48" s="68" t="s">
        <v>58</v>
      </c>
      <c r="J48" s="151"/>
      <c r="K48" s="142"/>
    </row>
    <row r="49" spans="1:10" ht="18" customHeight="1">
      <c r="A49" s="4"/>
      <c r="B49" s="73"/>
      <c r="C49" s="73"/>
      <c r="D49" s="73"/>
      <c r="F49" s="54" t="s">
        <v>10</v>
      </c>
      <c r="G49" s="55">
        <f>COUNTIF($G$20:$G$27,"PS")</f>
        <v>4</v>
      </c>
      <c r="H49" s="57">
        <f>COUNTIF($D$20:$D$27,"PS TERISI")</f>
        <v>3</v>
      </c>
      <c r="I49" s="69">
        <f t="shared" ref="I49:I54" si="2">G49-H49</f>
        <v>1</v>
      </c>
      <c r="J49" s="152"/>
    </row>
    <row r="50" spans="1:10" ht="18" customHeight="1">
      <c r="A50" s="4"/>
      <c r="B50" s="73"/>
      <c r="C50" s="73"/>
      <c r="D50" s="73"/>
      <c r="F50" s="54" t="s">
        <v>100</v>
      </c>
      <c r="G50" s="55">
        <f>COUNTIF($G$20:$G$27,"AE")</f>
        <v>1</v>
      </c>
      <c r="H50" s="57">
        <f>COUNTIF($D$20:$D$27,"AE TERISI")</f>
        <v>0</v>
      </c>
      <c r="I50" s="69">
        <f t="shared" si="2"/>
        <v>1</v>
      </c>
      <c r="J50" s="152"/>
    </row>
    <row r="51" spans="1:10" ht="18" customHeight="1">
      <c r="A51" s="4"/>
      <c r="B51" s="73"/>
      <c r="C51" s="73"/>
      <c r="D51" s="73"/>
      <c r="F51" s="54" t="s">
        <v>49</v>
      </c>
      <c r="G51" s="55">
        <f>COUNTIF($G$20:$G$27,"AM")</f>
        <v>0</v>
      </c>
      <c r="H51" s="57">
        <f>COUNTIF($D$20:$D$27,"AM TERISI")</f>
        <v>0</v>
      </c>
      <c r="I51" s="69">
        <f t="shared" si="2"/>
        <v>0</v>
      </c>
      <c r="J51" s="152"/>
    </row>
    <row r="52" spans="1:10" ht="18" customHeight="1">
      <c r="A52" s="4"/>
      <c r="B52" s="73"/>
      <c r="C52" s="73"/>
      <c r="D52" s="73"/>
      <c r="F52" s="54" t="s">
        <v>17</v>
      </c>
      <c r="G52" s="55">
        <f>COUNTIF($G$20:$G$27,"DM")</f>
        <v>1</v>
      </c>
      <c r="H52" s="57">
        <f>COUNTIF($D$20:$D$27,"DM TERISI")</f>
        <v>1</v>
      </c>
      <c r="I52" s="69">
        <f t="shared" si="2"/>
        <v>0</v>
      </c>
      <c r="J52" s="152"/>
    </row>
    <row r="53" spans="1:10" ht="18" customHeight="1">
      <c r="A53" s="4"/>
      <c r="B53" s="73"/>
      <c r="C53" s="73"/>
      <c r="D53" s="73"/>
      <c r="F53" s="54" t="s">
        <v>32</v>
      </c>
      <c r="G53" s="55">
        <f>COUNTIF($G$20:$G$27,"RSM")</f>
        <v>0</v>
      </c>
      <c r="H53" s="57">
        <f>COUNTIF($D$20:$D$27,"RSM TERISI")</f>
        <v>0</v>
      </c>
      <c r="I53" s="69">
        <f t="shared" si="2"/>
        <v>0</v>
      </c>
      <c r="J53" s="152"/>
    </row>
    <row r="54" spans="1:10" ht="18" customHeight="1">
      <c r="A54" s="4"/>
      <c r="B54" s="73"/>
      <c r="C54" s="73"/>
      <c r="D54" s="73"/>
      <c r="F54" s="54" t="s">
        <v>52</v>
      </c>
      <c r="G54" s="55">
        <f>COUNTIF($G$20:$G$27,"BCO")</f>
        <v>1</v>
      </c>
      <c r="H54" s="57">
        <f>COUNTIF($D$20:$D$27,"BCO TERISI")</f>
        <v>1</v>
      </c>
      <c r="I54" s="69">
        <f t="shared" si="2"/>
        <v>0</v>
      </c>
      <c r="J54" s="152"/>
    </row>
    <row r="55" spans="1:10" ht="18" customHeight="1">
      <c r="A55" s="4"/>
      <c r="B55" s="73"/>
      <c r="C55" s="73"/>
      <c r="D55" s="73"/>
      <c r="F55" s="53" t="s">
        <v>56</v>
      </c>
      <c r="G55" s="56">
        <f>SUM(G49:G54)</f>
        <v>7</v>
      </c>
      <c r="H55" s="56">
        <f>SUM(H49:H54)</f>
        <v>5</v>
      </c>
      <c r="I55" s="68">
        <f>SUM(I49:I54)</f>
        <v>2</v>
      </c>
      <c r="J55" s="151"/>
    </row>
    <row r="56" spans="1:10" ht="18" customHeight="1">
      <c r="A56" s="4"/>
      <c r="B56" s="4"/>
      <c r="C56" s="4"/>
      <c r="D56" s="4"/>
      <c r="H56" s="58">
        <f>H55/G55</f>
        <v>0.7142857142857143</v>
      </c>
      <c r="I56" s="70">
        <f>I55/G55</f>
        <v>0.2857142857142857</v>
      </c>
      <c r="J56" s="151"/>
    </row>
    <row r="57" spans="1:10" ht="18" customHeight="1">
      <c r="B57" s="73"/>
      <c r="C57" s="73"/>
      <c r="D57" s="73"/>
    </row>
    <row r="58" spans="1:10" ht="18" customHeight="1">
      <c r="B58" s="73"/>
      <c r="C58" s="73"/>
      <c r="D58" s="73"/>
    </row>
    <row r="59" spans="1:10" ht="18" customHeight="1">
      <c r="B59" s="73"/>
      <c r="C59" s="73"/>
      <c r="D59" s="73"/>
    </row>
    <row r="60" spans="1:10" ht="18" customHeight="1">
      <c r="B60" s="73"/>
      <c r="C60" s="73"/>
      <c r="D60" s="73"/>
    </row>
  </sheetData>
  <mergeCells count="23">
    <mergeCell ref="G35:H35"/>
    <mergeCell ref="G36:H36"/>
    <mergeCell ref="G46:H46"/>
    <mergeCell ref="G37:H37"/>
    <mergeCell ref="G38:H38"/>
    <mergeCell ref="G39:H39"/>
    <mergeCell ref="G45:H45"/>
    <mergeCell ref="G40:H40"/>
    <mergeCell ref="G41:H41"/>
    <mergeCell ref="G42:H42"/>
    <mergeCell ref="G43:H43"/>
    <mergeCell ref="G44:H44"/>
    <mergeCell ref="F1:K1"/>
    <mergeCell ref="H4:H5"/>
    <mergeCell ref="I4:I5"/>
    <mergeCell ref="K4:K5"/>
    <mergeCell ref="F2:K2"/>
    <mergeCell ref="J4:J5"/>
    <mergeCell ref="B4:B5"/>
    <mergeCell ref="D4:D5"/>
    <mergeCell ref="F4:F5"/>
    <mergeCell ref="G4:G5"/>
    <mergeCell ref="C4:C5"/>
  </mergeCells>
  <conditionalFormatting sqref="D4">
    <cfRule type="duplicateValues" dxfId="54" priority="6"/>
  </conditionalFormatting>
  <conditionalFormatting sqref="F4">
    <cfRule type="duplicateValues" dxfId="53" priority="10"/>
  </conditionalFormatting>
  <conditionalFormatting sqref="F7:F10">
    <cfRule type="duplicateValues" dxfId="52" priority="4"/>
  </conditionalFormatting>
  <conditionalFormatting sqref="F11">
    <cfRule type="duplicateValues" dxfId="51" priority="3"/>
  </conditionalFormatting>
  <conditionalFormatting sqref="F12:F16 F18 F20:F27">
    <cfRule type="duplicateValues" dxfId="50" priority="16"/>
  </conditionalFormatting>
  <conditionalFormatting sqref="F17">
    <cfRule type="duplicateValues" dxfId="49" priority="2"/>
  </conditionalFormatting>
  <conditionalFormatting sqref="F19">
    <cfRule type="duplicateValues" dxfId="48" priority="1"/>
  </conditionalFormatting>
  <conditionalFormatting sqref="F27">
    <cfRule type="duplicateValues" dxfId="47" priority="11"/>
  </conditionalFormatting>
  <conditionalFormatting sqref="F36:F45">
    <cfRule type="duplicateValues" dxfId="46" priority="7"/>
  </conditionalFormatting>
  <printOptions horizontalCentered="1"/>
  <pageMargins left="0.28000000000000003" right="0.16" top="0.45" bottom="0.45" header="0.31496062992126" footer="0.31496062992126"/>
  <pageSetup paperSize="9" scale="72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NAD!$D$5:$D$16</xm:f>
          </x14:formula1>
          <xm:sqref>D7:D27</xm:sqref>
        </x14:dataValidation>
        <x14:dataValidation type="list" allowBlank="1" showInputMessage="1" showErrorMessage="1" xr:uid="{00000000-0002-0000-0100-000000000000}">
          <x14:formula1>
            <xm:f>NAD!$B$5:$B$13</xm:f>
          </x14:formula1>
          <xm:sqref>B7:B27</xm:sqref>
        </x14:dataValidation>
        <x14:dataValidation type="list" allowBlank="1" showInputMessage="1" showErrorMessage="1" xr:uid="{F7D3A77B-C898-4730-9D7F-BAD922245045}">
          <x14:formula1>
            <xm:f>NAD!$C$5:$C$10</xm:f>
          </x14:formula1>
          <xm:sqref>C7:C27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M58"/>
  <sheetViews>
    <sheetView showGridLines="0" zoomScale="70" zoomScaleNormal="70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F1" sqref="F1:K27"/>
    </sheetView>
  </sheetViews>
  <sheetFormatPr defaultColWidth="3.5703125" defaultRowHeight="18" customHeight="1"/>
  <cols>
    <col min="1" max="1" width="2.5703125" style="28" customWidth="1"/>
    <col min="2" max="2" width="20.5703125" style="33" customWidth="1"/>
    <col min="3" max="4" width="11.5703125" style="33" customWidth="1"/>
    <col min="5" max="5" width="2.5703125" style="28" customWidth="1"/>
    <col min="6" max="6" width="35.5703125" style="28" customWidth="1"/>
    <col min="7" max="7" width="10.5703125" style="28" customWidth="1"/>
    <col min="8" max="8" width="35.5703125" style="114" customWidth="1"/>
    <col min="9" max="9" width="22.140625" style="29" bestFit="1" customWidth="1"/>
    <col min="10" max="10" width="22.140625" style="136" bestFit="1" customWidth="1"/>
    <col min="11" max="11" width="22.140625" style="157" bestFit="1" customWidth="1"/>
    <col min="12" max="16384" width="3.5703125" style="30"/>
  </cols>
  <sheetData>
    <row r="1" spans="1:11" ht="24.95" customHeight="1">
      <c r="F1" s="224" t="s">
        <v>365</v>
      </c>
      <c r="G1" s="224"/>
      <c r="H1" s="224"/>
      <c r="I1" s="224"/>
      <c r="J1" s="224"/>
      <c r="K1" s="224"/>
    </row>
    <row r="2" spans="1:11" ht="24.95" customHeight="1">
      <c r="B2" s="73"/>
      <c r="C2" s="73"/>
      <c r="D2" s="73"/>
      <c r="F2" s="224" t="s">
        <v>317</v>
      </c>
      <c r="G2" s="224"/>
      <c r="H2" s="224"/>
      <c r="I2" s="224"/>
      <c r="J2" s="224"/>
      <c r="K2" s="224"/>
    </row>
    <row r="3" spans="1:11" ht="18" customHeight="1">
      <c r="B3" s="127"/>
      <c r="C3" s="127"/>
      <c r="D3" s="127"/>
      <c r="F3" s="31"/>
      <c r="G3" s="31"/>
      <c r="H3" s="32"/>
      <c r="I3" s="59"/>
      <c r="J3" s="59"/>
      <c r="K3" s="141"/>
    </row>
    <row r="4" spans="1:11" ht="20.100000000000001" customHeight="1">
      <c r="B4" s="220" t="s">
        <v>0</v>
      </c>
      <c r="C4" s="220" t="s">
        <v>296</v>
      </c>
      <c r="D4" s="220" t="s">
        <v>1</v>
      </c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1" ht="20.100000000000001" customHeight="1">
      <c r="B5" s="221"/>
      <c r="C5" s="221"/>
      <c r="D5" s="221"/>
      <c r="F5" s="223"/>
      <c r="G5" s="223"/>
      <c r="H5" s="223"/>
      <c r="I5" s="226"/>
      <c r="J5" s="228"/>
      <c r="K5" s="228"/>
    </row>
    <row r="6" spans="1:11" ht="9.9499999999999993" customHeight="1">
      <c r="A6" s="28" t="s">
        <v>6</v>
      </c>
      <c r="H6" s="34"/>
      <c r="J6" s="29"/>
      <c r="K6" s="142"/>
    </row>
    <row r="7" spans="1:11" ht="18" customHeight="1">
      <c r="A7" s="28" t="s">
        <v>6</v>
      </c>
      <c r="B7" s="35" t="s">
        <v>7</v>
      </c>
      <c r="C7" s="35" t="s">
        <v>7</v>
      </c>
      <c r="D7" s="35" t="s">
        <v>8</v>
      </c>
      <c r="F7" s="36" t="s">
        <v>84</v>
      </c>
      <c r="G7" s="36" t="s">
        <v>10</v>
      </c>
      <c r="H7" s="115" t="s">
        <v>85</v>
      </c>
      <c r="I7" s="60">
        <v>85000000</v>
      </c>
      <c r="J7" s="60"/>
      <c r="K7" s="143">
        <f>SUM(I7:J7)</f>
        <v>85000000</v>
      </c>
    </row>
    <row r="8" spans="1:11" ht="18" customHeight="1">
      <c r="A8" s="28" t="s">
        <v>6</v>
      </c>
      <c r="B8" s="35" t="s">
        <v>7</v>
      </c>
      <c r="C8" s="35" t="s">
        <v>7</v>
      </c>
      <c r="D8" s="35" t="s">
        <v>8</v>
      </c>
      <c r="F8" s="36" t="s">
        <v>86</v>
      </c>
      <c r="G8" s="36" t="s">
        <v>10</v>
      </c>
      <c r="H8" s="117" t="s">
        <v>363</v>
      </c>
      <c r="I8" s="60">
        <v>95000000</v>
      </c>
      <c r="J8" s="60"/>
      <c r="K8" s="143">
        <f>SUM(I8:J8)</f>
        <v>95000000</v>
      </c>
    </row>
    <row r="9" spans="1:11" ht="18" customHeight="1">
      <c r="A9" s="28" t="s">
        <v>6</v>
      </c>
      <c r="B9" s="35" t="s">
        <v>26</v>
      </c>
      <c r="C9" s="35" t="s">
        <v>7</v>
      </c>
      <c r="D9" s="35" t="s">
        <v>14</v>
      </c>
      <c r="F9" s="116" t="s">
        <v>87</v>
      </c>
      <c r="G9" s="116" t="s">
        <v>10</v>
      </c>
      <c r="H9" s="117" t="s">
        <v>88</v>
      </c>
      <c r="I9" s="61">
        <v>65000000</v>
      </c>
      <c r="J9" s="61"/>
      <c r="K9" s="143">
        <f>SUM(I9:J9)</f>
        <v>65000000</v>
      </c>
    </row>
    <row r="10" spans="1:11" ht="18" customHeight="1">
      <c r="A10" s="28" t="s">
        <v>6</v>
      </c>
      <c r="B10" s="42"/>
      <c r="C10" s="35" t="s">
        <v>7</v>
      </c>
      <c r="D10" s="42" t="s">
        <v>20</v>
      </c>
      <c r="F10" s="43" t="s">
        <v>89</v>
      </c>
      <c r="G10" s="44" t="s">
        <v>17</v>
      </c>
      <c r="H10" s="118" t="s">
        <v>90</v>
      </c>
      <c r="I10" s="63">
        <f>SUM(I7:I9)</f>
        <v>245000000</v>
      </c>
      <c r="J10" s="63">
        <f>SUM(J7:J9)</f>
        <v>0</v>
      </c>
      <c r="K10" s="63">
        <f>SUM(I10:J10)</f>
        <v>245000000</v>
      </c>
    </row>
    <row r="11" spans="1:11" ht="18" customHeight="1">
      <c r="A11" s="28" t="s">
        <v>6</v>
      </c>
      <c r="B11" s="42"/>
      <c r="C11" s="42"/>
      <c r="D11" s="35"/>
      <c r="F11" s="46"/>
      <c r="H11" s="119"/>
      <c r="I11" s="135"/>
      <c r="J11" s="150"/>
      <c r="K11" s="144"/>
    </row>
    <row r="12" spans="1:11" ht="18" customHeight="1">
      <c r="A12" s="28" t="s">
        <v>6</v>
      </c>
      <c r="B12" s="35" t="s">
        <v>30</v>
      </c>
      <c r="C12" s="35" t="s">
        <v>21</v>
      </c>
      <c r="D12" s="35" t="s">
        <v>269</v>
      </c>
      <c r="F12" s="216" t="s">
        <v>359</v>
      </c>
      <c r="G12" s="216" t="s">
        <v>100</v>
      </c>
      <c r="H12" s="217" t="s">
        <v>360</v>
      </c>
      <c r="I12" s="146">
        <v>50000000</v>
      </c>
      <c r="J12" s="146">
        <v>349000000</v>
      </c>
      <c r="K12" s="146">
        <f>SUM(I12:J12)</f>
        <v>399000000</v>
      </c>
    </row>
    <row r="13" spans="1:11" ht="18" customHeight="1">
      <c r="A13" s="28" t="s">
        <v>6</v>
      </c>
      <c r="B13" s="125"/>
      <c r="C13" s="125"/>
      <c r="D13" s="125"/>
      <c r="F13" s="46"/>
      <c r="H13" s="28"/>
      <c r="I13" s="135"/>
      <c r="J13" s="150"/>
      <c r="K13" s="145"/>
    </row>
    <row r="14" spans="1:11" ht="18" customHeight="1">
      <c r="A14" s="28" t="s">
        <v>6</v>
      </c>
      <c r="B14" s="42"/>
      <c r="C14" s="42" t="s">
        <v>7</v>
      </c>
      <c r="D14" s="42" t="s">
        <v>309</v>
      </c>
      <c r="F14" s="106" t="s">
        <v>322</v>
      </c>
      <c r="G14" s="106" t="s">
        <v>32</v>
      </c>
      <c r="H14" s="107" t="s">
        <v>18</v>
      </c>
      <c r="I14" s="110">
        <f>I10+I12</f>
        <v>295000000</v>
      </c>
      <c r="J14" s="110">
        <f>J10+J12</f>
        <v>349000000</v>
      </c>
      <c r="K14" s="110">
        <f>SUM(I14:J14)</f>
        <v>644000000</v>
      </c>
    </row>
    <row r="15" spans="1:11" ht="18" customHeight="1">
      <c r="A15" s="28" t="s">
        <v>6</v>
      </c>
      <c r="B15" s="35"/>
      <c r="C15" s="35"/>
      <c r="D15" s="35"/>
      <c r="H15" s="119"/>
      <c r="I15" s="135"/>
      <c r="J15" s="150"/>
      <c r="K15" s="181"/>
    </row>
    <row r="16" spans="1:11" s="113" customFormat="1" ht="18" customHeight="1">
      <c r="A16" s="28" t="s">
        <v>6</v>
      </c>
      <c r="B16" s="35" t="s">
        <v>13</v>
      </c>
      <c r="C16" s="35" t="s">
        <v>13</v>
      </c>
      <c r="D16" s="35" t="s">
        <v>8</v>
      </c>
      <c r="E16" s="28"/>
      <c r="F16" s="88" t="s">
        <v>91</v>
      </c>
      <c r="G16" s="88" t="s">
        <v>10</v>
      </c>
      <c r="H16" s="120" t="s">
        <v>288</v>
      </c>
      <c r="I16" s="91">
        <v>65000000</v>
      </c>
      <c r="J16" s="91"/>
      <c r="K16" s="146">
        <f>SUM(I16:J16)</f>
        <v>65000000</v>
      </c>
    </row>
    <row r="17" spans="1:13" ht="18" customHeight="1">
      <c r="A17" s="28" t="s">
        <v>6</v>
      </c>
      <c r="B17" s="35" t="s">
        <v>13</v>
      </c>
      <c r="C17" s="35" t="s">
        <v>13</v>
      </c>
      <c r="D17" s="35" t="s">
        <v>8</v>
      </c>
      <c r="F17" s="81" t="s">
        <v>92</v>
      </c>
      <c r="G17" s="47" t="s">
        <v>10</v>
      </c>
      <c r="H17" s="120" t="s">
        <v>321</v>
      </c>
      <c r="I17" s="91">
        <v>100000000</v>
      </c>
      <c r="J17" s="91"/>
      <c r="K17" s="146">
        <f>SUM(I17:J17)</f>
        <v>100000000</v>
      </c>
    </row>
    <row r="18" spans="1:13" ht="18" customHeight="1">
      <c r="A18" s="28" t="s">
        <v>6</v>
      </c>
      <c r="B18" s="35" t="s">
        <v>26</v>
      </c>
      <c r="C18" s="35" t="s">
        <v>13</v>
      </c>
      <c r="D18" s="35" t="s">
        <v>8</v>
      </c>
      <c r="F18" s="88" t="s">
        <v>93</v>
      </c>
      <c r="G18" s="88" t="s">
        <v>10</v>
      </c>
      <c r="H18" s="120" t="s">
        <v>94</v>
      </c>
      <c r="I18" s="91">
        <v>70000000</v>
      </c>
      <c r="J18" s="91"/>
      <c r="K18" s="146">
        <f>SUM(I18:J18)</f>
        <v>70000000</v>
      </c>
    </row>
    <row r="19" spans="1:13" ht="18" customHeight="1">
      <c r="A19" s="28" t="s">
        <v>6</v>
      </c>
      <c r="B19" s="42"/>
      <c r="C19" s="35" t="s">
        <v>13</v>
      </c>
      <c r="D19" s="42" t="s">
        <v>20</v>
      </c>
      <c r="F19" s="49" t="s">
        <v>95</v>
      </c>
      <c r="G19" s="49" t="s">
        <v>17</v>
      </c>
      <c r="H19" s="121" t="s">
        <v>96</v>
      </c>
      <c r="I19" s="65">
        <f>SUM(I16:I18)</f>
        <v>235000000</v>
      </c>
      <c r="J19" s="65">
        <f>SUM(J16:J18)</f>
        <v>0</v>
      </c>
      <c r="K19" s="65">
        <f>SUM(I19:J19)</f>
        <v>235000000</v>
      </c>
    </row>
    <row r="20" spans="1:13" ht="18" customHeight="1">
      <c r="A20" s="28" t="s">
        <v>6</v>
      </c>
      <c r="B20" s="35"/>
      <c r="C20" s="35"/>
      <c r="D20" s="35"/>
      <c r="F20" s="46"/>
      <c r="H20" s="119"/>
      <c r="I20" s="135"/>
      <c r="J20" s="150"/>
      <c r="K20" s="144"/>
    </row>
    <row r="21" spans="1:13" ht="18" customHeight="1">
      <c r="A21" s="28" t="s">
        <v>6</v>
      </c>
      <c r="B21" s="42" t="s">
        <v>19</v>
      </c>
      <c r="C21" s="42" t="s">
        <v>19</v>
      </c>
      <c r="D21" s="35" t="s">
        <v>8</v>
      </c>
      <c r="E21" s="182"/>
      <c r="F21" s="92" t="s">
        <v>97</v>
      </c>
      <c r="G21" s="40" t="s">
        <v>10</v>
      </c>
      <c r="H21" s="122" t="s">
        <v>370</v>
      </c>
      <c r="I21" s="62">
        <v>20000000</v>
      </c>
      <c r="J21" s="62"/>
      <c r="K21" s="156">
        <f>SUM(I21:J21)</f>
        <v>20000000</v>
      </c>
      <c r="L21" s="30" t="s">
        <v>362</v>
      </c>
    </row>
    <row r="22" spans="1:13" s="26" customFormat="1" ht="18" customHeight="1">
      <c r="A22" s="28" t="s">
        <v>6</v>
      </c>
      <c r="B22" s="42" t="s">
        <v>19</v>
      </c>
      <c r="C22" s="42" t="s">
        <v>19</v>
      </c>
      <c r="D22" s="35" t="s">
        <v>14</v>
      </c>
      <c r="E22" s="171"/>
      <c r="F22" s="173" t="s">
        <v>98</v>
      </c>
      <c r="G22" s="174" t="s">
        <v>10</v>
      </c>
      <c r="H22" s="184" t="s">
        <v>345</v>
      </c>
      <c r="I22" s="176">
        <v>0</v>
      </c>
      <c r="J22" s="176"/>
      <c r="K22" s="177">
        <f>SUM(I22:J22)</f>
        <v>0</v>
      </c>
    </row>
    <row r="23" spans="1:13" ht="18" customHeight="1">
      <c r="A23" s="28" t="s">
        <v>6</v>
      </c>
      <c r="B23" s="35"/>
      <c r="C23" s="42" t="s">
        <v>19</v>
      </c>
      <c r="D23" s="42" t="s">
        <v>15</v>
      </c>
      <c r="F23" s="90" t="s">
        <v>99</v>
      </c>
      <c r="G23" s="49" t="s">
        <v>17</v>
      </c>
      <c r="H23" s="121" t="s">
        <v>286</v>
      </c>
      <c r="I23" s="65">
        <f>SUM(I21:I22)</f>
        <v>20000000</v>
      </c>
      <c r="J23" s="65">
        <f>SUM(J21:J22)</f>
        <v>0</v>
      </c>
      <c r="K23" s="65">
        <f>SUM(I23:J23)</f>
        <v>20000000</v>
      </c>
    </row>
    <row r="24" spans="1:13" ht="18" customHeight="1">
      <c r="A24" s="28" t="s">
        <v>6</v>
      </c>
      <c r="B24" s="125"/>
      <c r="C24" s="125"/>
      <c r="D24" s="125"/>
      <c r="F24" s="46"/>
      <c r="H24" s="28"/>
      <c r="I24" s="135"/>
      <c r="J24" s="150"/>
      <c r="K24" s="145"/>
    </row>
    <row r="25" spans="1:13" s="26" customFormat="1" ht="18" customHeight="1">
      <c r="A25" s="171" t="s">
        <v>6</v>
      </c>
      <c r="B25" s="183"/>
      <c r="C25" s="42" t="s">
        <v>13</v>
      </c>
      <c r="D25" s="42" t="s">
        <v>24</v>
      </c>
      <c r="E25" s="171"/>
      <c r="F25" s="106" t="s">
        <v>323</v>
      </c>
      <c r="G25" s="106" t="s">
        <v>32</v>
      </c>
      <c r="H25" s="107" t="s">
        <v>369</v>
      </c>
      <c r="I25" s="110">
        <f>I19+I23</f>
        <v>255000000</v>
      </c>
      <c r="J25" s="110">
        <f>J19+J23</f>
        <v>0</v>
      </c>
      <c r="K25" s="110">
        <f>SUM(I25:J25)</f>
        <v>255000000</v>
      </c>
      <c r="L25" s="30" t="s">
        <v>362</v>
      </c>
      <c r="M25" s="30"/>
    </row>
    <row r="26" spans="1:13" ht="18" customHeight="1">
      <c r="A26" s="28" t="s">
        <v>6</v>
      </c>
      <c r="B26" s="35"/>
      <c r="C26" s="35"/>
      <c r="D26" s="35"/>
      <c r="H26" s="119"/>
      <c r="I26" s="135"/>
      <c r="J26" s="150"/>
      <c r="K26" s="181"/>
    </row>
    <row r="27" spans="1:13" ht="24.95" customHeight="1">
      <c r="A27" s="28" t="s">
        <v>6</v>
      </c>
      <c r="B27" s="42"/>
      <c r="C27" s="42" t="s">
        <v>52</v>
      </c>
      <c r="D27" s="42" t="s">
        <v>31</v>
      </c>
      <c r="F27" s="51" t="s">
        <v>101</v>
      </c>
      <c r="G27" s="51" t="s">
        <v>52</v>
      </c>
      <c r="H27" s="123" t="s">
        <v>102</v>
      </c>
      <c r="I27" s="124">
        <f>I14+I19+I23</f>
        <v>550000000</v>
      </c>
      <c r="J27" s="124">
        <f>J14+J19+J23</f>
        <v>349000000</v>
      </c>
      <c r="K27" s="124">
        <f>SUM(I27:J27)</f>
        <v>899000000</v>
      </c>
    </row>
    <row r="28" spans="1:13" ht="18" customHeight="1">
      <c r="H28" s="28"/>
    </row>
    <row r="29" spans="1:13" ht="18" customHeight="1">
      <c r="H29" s="28"/>
    </row>
    <row r="30" spans="1:13" ht="18" customHeight="1">
      <c r="H30" s="28"/>
    </row>
    <row r="31" spans="1:13" ht="18" customHeight="1">
      <c r="H31" s="28"/>
    </row>
    <row r="32" spans="1:13" ht="18" customHeight="1">
      <c r="H32" s="28"/>
    </row>
    <row r="33" spans="1:11" ht="18" customHeight="1">
      <c r="H33" s="28"/>
    </row>
    <row r="34" spans="1:11" ht="18" customHeight="1">
      <c r="H34" s="28"/>
    </row>
    <row r="35" spans="1:11" ht="18" customHeight="1">
      <c r="H35" s="28"/>
    </row>
    <row r="36" spans="1:11" ht="18" customHeight="1">
      <c r="H36" s="28"/>
    </row>
    <row r="37" spans="1:11" s="27" customFormat="1" ht="18" customHeight="1">
      <c r="A37" s="2"/>
      <c r="B37" s="73"/>
      <c r="C37" s="73"/>
      <c r="D37" s="73"/>
      <c r="E37" s="28"/>
      <c r="F37" s="53" t="s">
        <v>54</v>
      </c>
      <c r="G37" s="229" t="s">
        <v>55</v>
      </c>
      <c r="H37" s="229"/>
      <c r="I37" s="67" t="s">
        <v>5</v>
      </c>
      <c r="J37" s="137"/>
      <c r="K37" s="137"/>
    </row>
    <row r="38" spans="1:11" ht="18" customHeight="1">
      <c r="A38" s="4"/>
      <c r="B38" s="73"/>
      <c r="C38" s="73"/>
      <c r="D38" s="73"/>
      <c r="F38" s="54" t="s">
        <v>7</v>
      </c>
      <c r="G38" s="230">
        <f>COUNTIF($B$7:$B$27,"UTM")</f>
        <v>2</v>
      </c>
      <c r="H38" s="230"/>
      <c r="I38" s="67">
        <f>SUMIFS($K$7:$K$27,$B$7:$B$27,F38)</f>
        <v>180000000</v>
      </c>
      <c r="J38" s="137"/>
      <c r="K38" s="137"/>
    </row>
    <row r="39" spans="1:11" ht="18" customHeight="1">
      <c r="A39" s="4"/>
      <c r="B39" s="73"/>
      <c r="C39" s="73"/>
      <c r="D39" s="73"/>
      <c r="F39" s="54" t="s">
        <v>13</v>
      </c>
      <c r="G39" s="230">
        <f>COUNTIF($B$7:$B$27,"SPM")</f>
        <v>2</v>
      </c>
      <c r="H39" s="230"/>
      <c r="I39" s="67">
        <f t="shared" ref="I39:I46" si="0">SUMIFS($K$7:$K$27,$B$7:$B$27,F39)</f>
        <v>165000000</v>
      </c>
      <c r="J39" s="137"/>
      <c r="K39" s="137"/>
    </row>
    <row r="40" spans="1:11" ht="18" customHeight="1">
      <c r="A40" s="4"/>
      <c r="B40" s="73"/>
      <c r="C40" s="73"/>
      <c r="D40" s="73"/>
      <c r="F40" s="54" t="s">
        <v>19</v>
      </c>
      <c r="G40" s="230">
        <f>COUNTIF($B$7:$B$27,"PMT")</f>
        <v>2</v>
      </c>
      <c r="H40" s="230"/>
      <c r="I40" s="67">
        <f t="shared" si="0"/>
        <v>20000000</v>
      </c>
      <c r="J40" s="137"/>
      <c r="K40" s="137"/>
    </row>
    <row r="41" spans="1:11" ht="18" customHeight="1">
      <c r="A41" s="4"/>
      <c r="B41" s="73"/>
      <c r="C41" s="73"/>
      <c r="D41" s="73"/>
      <c r="F41" s="54" t="s">
        <v>21</v>
      </c>
      <c r="G41" s="230">
        <f>COUNTIF($B$7:$B$27,"PRM")</f>
        <v>0</v>
      </c>
      <c r="H41" s="230"/>
      <c r="I41" s="67">
        <f>I12</f>
        <v>50000000</v>
      </c>
      <c r="J41" s="137"/>
      <c r="K41" s="137"/>
    </row>
    <row r="42" spans="1:11" ht="18" customHeight="1">
      <c r="A42" s="4"/>
      <c r="B42" s="73"/>
      <c r="C42" s="73"/>
      <c r="D42" s="73"/>
      <c r="F42" s="54" t="s">
        <v>26</v>
      </c>
      <c r="G42" s="230">
        <f>COUNTIF($B$7:$B$27,"COMBO UTM-SPM")</f>
        <v>2</v>
      </c>
      <c r="H42" s="230"/>
      <c r="I42" s="67">
        <f t="shared" si="0"/>
        <v>135000000</v>
      </c>
      <c r="J42" s="137"/>
      <c r="K42" s="137"/>
    </row>
    <row r="43" spans="1:11" ht="18" customHeight="1">
      <c r="A43" s="4"/>
      <c r="B43" s="73"/>
      <c r="C43" s="73"/>
      <c r="D43" s="73"/>
      <c r="F43" s="54" t="s">
        <v>27</v>
      </c>
      <c r="G43" s="230">
        <f>COUNTIF($B$7:$B$27,"COMBO UTM-SPM-PMT")</f>
        <v>0</v>
      </c>
      <c r="H43" s="230"/>
      <c r="I43" s="67">
        <f t="shared" si="0"/>
        <v>0</v>
      </c>
      <c r="J43" s="137"/>
      <c r="K43" s="137"/>
    </row>
    <row r="44" spans="1:11" ht="18" customHeight="1">
      <c r="A44" s="4"/>
      <c r="B44" s="73"/>
      <c r="C44" s="73"/>
      <c r="D44" s="73"/>
      <c r="F44" s="54" t="s">
        <v>29</v>
      </c>
      <c r="G44" s="230">
        <f>COUNTIF($B$7:$B$27,"COMBO UTM-SPM-PRM-PNC")</f>
        <v>0</v>
      </c>
      <c r="H44" s="230"/>
      <c r="I44" s="67">
        <f t="shared" si="0"/>
        <v>0</v>
      </c>
      <c r="J44" s="137"/>
      <c r="K44" s="137"/>
    </row>
    <row r="45" spans="1:11" ht="18" customHeight="1">
      <c r="A45" s="4"/>
      <c r="B45" s="73"/>
      <c r="C45" s="73"/>
      <c r="D45" s="73"/>
      <c r="F45" s="54" t="s">
        <v>30</v>
      </c>
      <c r="G45" s="230">
        <f>COUNTIF($B$7:$B$27,"COMBO PRM-PNC")</f>
        <v>1</v>
      </c>
      <c r="H45" s="230"/>
      <c r="I45" s="67">
        <v>0</v>
      </c>
      <c r="J45" s="137"/>
      <c r="K45" s="137"/>
    </row>
    <row r="46" spans="1:11" ht="18" customHeight="1">
      <c r="A46" s="4"/>
      <c r="B46" s="73"/>
      <c r="C46" s="73"/>
      <c r="D46" s="73"/>
      <c r="F46" s="54" t="s">
        <v>33</v>
      </c>
      <c r="G46" s="230">
        <f>COUNTIF($B$7:$B$27,"COMBO ALL DIV")</f>
        <v>0</v>
      </c>
      <c r="H46" s="230"/>
      <c r="I46" s="67">
        <f t="shared" si="0"/>
        <v>0</v>
      </c>
      <c r="J46" s="137"/>
      <c r="K46" s="137"/>
    </row>
    <row r="47" spans="1:11" ht="18" customHeight="1">
      <c r="A47" s="4"/>
      <c r="B47" s="73"/>
      <c r="C47" s="73"/>
      <c r="D47" s="73"/>
      <c r="F47" s="54" t="s">
        <v>23</v>
      </c>
      <c r="G47" s="230">
        <f>COUNTIF($B$7:$B$27,"PNC")</f>
        <v>0</v>
      </c>
      <c r="H47" s="230"/>
      <c r="I47" s="67">
        <f>J12</f>
        <v>349000000</v>
      </c>
      <c r="J47" s="137"/>
      <c r="K47" s="137"/>
    </row>
    <row r="48" spans="1:11" ht="18" customHeight="1">
      <c r="A48" s="4"/>
      <c r="B48" s="73"/>
      <c r="C48" s="73"/>
      <c r="D48" s="73"/>
      <c r="F48" s="53" t="s">
        <v>56</v>
      </c>
      <c r="G48" s="231">
        <f>SUM(G38:H47)</f>
        <v>9</v>
      </c>
      <c r="H48" s="231"/>
      <c r="I48" s="67">
        <f>SUM(I38:I47)</f>
        <v>899000000</v>
      </c>
      <c r="J48" s="137"/>
      <c r="K48" s="137"/>
    </row>
    <row r="49" spans="1:11" ht="18" customHeight="1">
      <c r="B49" s="73"/>
      <c r="C49" s="73"/>
      <c r="D49" s="73"/>
      <c r="H49" s="28"/>
    </row>
    <row r="50" spans="1:11" s="27" customFormat="1" ht="18" customHeight="1">
      <c r="A50" s="2"/>
      <c r="B50" s="73"/>
      <c r="C50" s="73"/>
      <c r="D50" s="73"/>
      <c r="E50" s="28"/>
      <c r="F50" s="53" t="s">
        <v>3</v>
      </c>
      <c r="G50" s="56" t="s">
        <v>56</v>
      </c>
      <c r="H50" s="56" t="s">
        <v>57</v>
      </c>
      <c r="I50" s="68" t="s">
        <v>58</v>
      </c>
      <c r="J50" s="151"/>
      <c r="K50" s="151"/>
    </row>
    <row r="51" spans="1:11" ht="18" customHeight="1">
      <c r="A51" s="4"/>
      <c r="B51" s="73"/>
      <c r="C51" s="73"/>
      <c r="D51" s="73"/>
      <c r="F51" s="54" t="s">
        <v>10</v>
      </c>
      <c r="G51" s="55">
        <f>COUNTIF($G$7:$G$27,"PS")</f>
        <v>8</v>
      </c>
      <c r="H51" s="57">
        <f>COUNTIF($D$7:$D$27,"PS TERISI")</f>
        <v>6</v>
      </c>
      <c r="I51" s="69">
        <f t="shared" ref="I51:I56" si="1">G51-H51</f>
        <v>2</v>
      </c>
      <c r="J51" s="152"/>
      <c r="K51" s="151"/>
    </row>
    <row r="52" spans="1:11" ht="18" customHeight="1">
      <c r="A52" s="4"/>
      <c r="B52" s="73"/>
      <c r="C52" s="73"/>
      <c r="D52" s="73"/>
      <c r="F52" s="54" t="s">
        <v>100</v>
      </c>
      <c r="G52" s="55">
        <f>COUNTIF($G$7:$G$27,"AE")</f>
        <v>1</v>
      </c>
      <c r="H52" s="57">
        <f>COUNTIF($D$7:$D$27,"AE TERISI")</f>
        <v>1</v>
      </c>
      <c r="I52" s="69">
        <f t="shared" si="1"/>
        <v>0</v>
      </c>
      <c r="J52" s="152"/>
      <c r="K52" s="151"/>
    </row>
    <row r="53" spans="1:11" ht="18" customHeight="1">
      <c r="A53" s="4"/>
      <c r="B53" s="73"/>
      <c r="C53" s="73"/>
      <c r="D53" s="73"/>
      <c r="F53" s="54" t="s">
        <v>49</v>
      </c>
      <c r="G53" s="55">
        <f>COUNTIF($G$7:$G$27,"AM")</f>
        <v>0</v>
      </c>
      <c r="H53" s="57">
        <f>COUNTIF($D$7:$D$27,"AM TERISI")</f>
        <v>0</v>
      </c>
      <c r="I53" s="69">
        <f t="shared" si="1"/>
        <v>0</v>
      </c>
      <c r="J53" s="152"/>
      <c r="K53" s="151"/>
    </row>
    <row r="54" spans="1:11" ht="18" customHeight="1">
      <c r="A54" s="4"/>
      <c r="B54" s="73"/>
      <c r="C54" s="73"/>
      <c r="D54" s="73"/>
      <c r="F54" s="54" t="s">
        <v>17</v>
      </c>
      <c r="G54" s="55">
        <f>COUNTIF($G$7:$G$27,"DM")</f>
        <v>3</v>
      </c>
      <c r="H54" s="57">
        <f>COUNTIF($D$7:$D$27,"DM TERISI")</f>
        <v>2</v>
      </c>
      <c r="I54" s="69">
        <f t="shared" si="1"/>
        <v>1</v>
      </c>
      <c r="J54" s="152"/>
      <c r="K54" s="151"/>
    </row>
    <row r="55" spans="1:11" ht="18" customHeight="1">
      <c r="A55" s="4"/>
      <c r="B55" s="73"/>
      <c r="C55" s="73"/>
      <c r="D55" s="73"/>
      <c r="F55" s="54" t="s">
        <v>32</v>
      </c>
      <c r="G55" s="55">
        <f>COUNTIF($G$7:$G$27,"RSM")</f>
        <v>2</v>
      </c>
      <c r="H55" s="57">
        <f>COUNTIF($D$7:$D$27,"RSM TERISI")</f>
        <v>1</v>
      </c>
      <c r="I55" s="69">
        <f t="shared" si="1"/>
        <v>1</v>
      </c>
      <c r="J55" s="152"/>
      <c r="K55" s="151"/>
    </row>
    <row r="56" spans="1:11" ht="18" customHeight="1">
      <c r="A56" s="4"/>
      <c r="B56" s="73"/>
      <c r="C56" s="73"/>
      <c r="D56" s="73"/>
      <c r="F56" s="54" t="s">
        <v>52</v>
      </c>
      <c r="G56" s="55">
        <f>COUNTIF($G$7:$G$27,"BCO")</f>
        <v>1</v>
      </c>
      <c r="H56" s="57">
        <f>COUNTIF($D$7:$D$27,"BCO TERISI")</f>
        <v>1</v>
      </c>
      <c r="I56" s="69">
        <f t="shared" si="1"/>
        <v>0</v>
      </c>
      <c r="J56" s="152"/>
      <c r="K56" s="151"/>
    </row>
    <row r="57" spans="1:11" ht="18" customHeight="1">
      <c r="A57" s="4"/>
      <c r="B57" s="73"/>
      <c r="C57" s="73"/>
      <c r="D57" s="73"/>
      <c r="F57" s="53" t="s">
        <v>56</v>
      </c>
      <c r="G57" s="56">
        <f>SUM(G51:G56)</f>
        <v>15</v>
      </c>
      <c r="H57" s="56">
        <f>SUM(H51:H56)</f>
        <v>11</v>
      </c>
      <c r="I57" s="68">
        <f>SUM(I51:I56)</f>
        <v>4</v>
      </c>
      <c r="J57" s="151"/>
      <c r="K57" s="151"/>
    </row>
    <row r="58" spans="1:11" ht="18" customHeight="1">
      <c r="A58" s="4"/>
      <c r="B58" s="4"/>
      <c r="C58" s="4"/>
      <c r="D58" s="4"/>
      <c r="H58" s="58">
        <f>H57/G57</f>
        <v>0.73333333333333328</v>
      </c>
      <c r="I58" s="70">
        <f>I57/G57</f>
        <v>0.26666666666666666</v>
      </c>
      <c r="J58" s="151"/>
      <c r="K58" s="151"/>
    </row>
  </sheetData>
  <mergeCells count="23">
    <mergeCell ref="C4:C5"/>
    <mergeCell ref="I4:I5"/>
    <mergeCell ref="H4:H5"/>
    <mergeCell ref="K4:K5"/>
    <mergeCell ref="B4:B5"/>
    <mergeCell ref="D4:D5"/>
    <mergeCell ref="F4:F5"/>
    <mergeCell ref="G4:G5"/>
    <mergeCell ref="J4:J5"/>
    <mergeCell ref="F2:K2"/>
    <mergeCell ref="F1:K1"/>
    <mergeCell ref="G48:H48"/>
    <mergeCell ref="G39:H39"/>
    <mergeCell ref="G40:H40"/>
    <mergeCell ref="G41:H41"/>
    <mergeCell ref="G42:H42"/>
    <mergeCell ref="G47:H47"/>
    <mergeCell ref="G43:H43"/>
    <mergeCell ref="G44:H44"/>
    <mergeCell ref="G45:H45"/>
    <mergeCell ref="G46:H46"/>
    <mergeCell ref="G37:H37"/>
    <mergeCell ref="G38:H38"/>
  </mergeCells>
  <conditionalFormatting sqref="D4">
    <cfRule type="duplicateValues" dxfId="45" priority="3"/>
  </conditionalFormatting>
  <conditionalFormatting sqref="F4">
    <cfRule type="duplicateValues" dxfId="44" priority="6"/>
  </conditionalFormatting>
  <conditionalFormatting sqref="F7:F13 F15:F27">
    <cfRule type="duplicateValues" dxfId="43" priority="2"/>
  </conditionalFormatting>
  <conditionalFormatting sqref="F14">
    <cfRule type="duplicateValues" dxfId="42" priority="1"/>
  </conditionalFormatting>
  <conditionalFormatting sqref="F27">
    <cfRule type="duplicateValues" dxfId="41" priority="7"/>
  </conditionalFormatting>
  <conditionalFormatting sqref="F38:F47">
    <cfRule type="duplicateValues" dxfId="40" priority="4"/>
  </conditionalFormatting>
  <printOptions horizontalCentered="1"/>
  <pageMargins left="0.23622047244094499" right="0.196850393700787" top="0.43307086614173201" bottom="0.43307086614173201" header="0.31496062992126" footer="0.31496062992126"/>
  <pageSetup paperSize="9" scale="72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NAD!$D$5:$D$16</xm:f>
          </x14:formula1>
          <xm:sqref>D7:D27</xm:sqref>
        </x14:dataValidation>
        <x14:dataValidation type="list" allowBlank="1" showInputMessage="1" showErrorMessage="1" xr:uid="{5117CF90-C151-432B-811B-10C099D78614}">
          <x14:formula1>
            <xm:f>NAD!$B$5:$B$13</xm:f>
          </x14:formula1>
          <xm:sqref>B7:B27</xm:sqref>
        </x14:dataValidation>
        <x14:dataValidation type="list" allowBlank="1" showInputMessage="1" showErrorMessage="1" xr:uid="{EC34139D-84CB-4419-998E-3484D3F16361}">
          <x14:formula1>
            <xm:f>NAD!$C$5:$C$10</xm:f>
          </x14:formula1>
          <xm:sqref>C7:C27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L58"/>
  <sheetViews>
    <sheetView showGridLines="0" zoomScale="70" zoomScaleNormal="70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F1" sqref="F1:K30"/>
    </sheetView>
  </sheetViews>
  <sheetFormatPr defaultColWidth="3.5703125" defaultRowHeight="18" customHeight="1"/>
  <cols>
    <col min="1" max="1" width="2.5703125" style="28" customWidth="1"/>
    <col min="2" max="2" width="20.5703125" style="33" customWidth="1"/>
    <col min="3" max="4" width="11.5703125" style="33" customWidth="1"/>
    <col min="5" max="5" width="2.5703125" style="28" customWidth="1"/>
    <col min="6" max="6" width="35.5703125" style="28" customWidth="1"/>
    <col min="7" max="7" width="10.5703125" style="28" customWidth="1"/>
    <col min="8" max="8" width="35.5703125" style="28" customWidth="1"/>
    <col min="9" max="9" width="24.28515625" style="29" bestFit="1" customWidth="1"/>
    <col min="10" max="10" width="22.140625" style="136" bestFit="1" customWidth="1"/>
    <col min="11" max="11" width="24.28515625" style="157" bestFit="1" customWidth="1"/>
    <col min="12" max="16384" width="3.5703125" style="30"/>
  </cols>
  <sheetData>
    <row r="1" spans="1:12" ht="24.95" customHeight="1">
      <c r="F1" s="224" t="s">
        <v>365</v>
      </c>
      <c r="G1" s="224"/>
      <c r="H1" s="224"/>
      <c r="I1" s="224"/>
      <c r="J1" s="224"/>
      <c r="K1" s="224"/>
    </row>
    <row r="2" spans="1:12" ht="24.95" customHeight="1">
      <c r="B2" s="73"/>
      <c r="C2" s="73"/>
      <c r="D2" s="73"/>
      <c r="F2" s="224" t="s">
        <v>318</v>
      </c>
      <c r="G2" s="224"/>
      <c r="H2" s="224"/>
      <c r="I2" s="224"/>
      <c r="J2" s="224"/>
      <c r="K2" s="224"/>
    </row>
    <row r="3" spans="1:12" ht="18" customHeight="1">
      <c r="B3" s="127"/>
      <c r="C3" s="127"/>
      <c r="D3" s="127"/>
      <c r="F3" s="31"/>
      <c r="G3" s="31"/>
      <c r="H3" s="32"/>
      <c r="I3" s="59"/>
      <c r="J3" s="59"/>
      <c r="K3" s="141"/>
    </row>
    <row r="4" spans="1:12" ht="20.100000000000001" customHeight="1">
      <c r="B4" s="220" t="s">
        <v>0</v>
      </c>
      <c r="C4" s="220" t="s">
        <v>296</v>
      </c>
      <c r="D4" s="220" t="s">
        <v>1</v>
      </c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2" ht="20.100000000000001" customHeight="1">
      <c r="B5" s="221"/>
      <c r="C5" s="221"/>
      <c r="D5" s="221"/>
      <c r="F5" s="223"/>
      <c r="G5" s="223"/>
      <c r="H5" s="223"/>
      <c r="I5" s="226"/>
      <c r="J5" s="228"/>
      <c r="K5" s="228"/>
    </row>
    <row r="6" spans="1:12" ht="9.9499999999999993" customHeight="1">
      <c r="A6" s="28" t="s">
        <v>6</v>
      </c>
      <c r="H6" s="34"/>
      <c r="J6" s="29"/>
      <c r="K6" s="142"/>
    </row>
    <row r="7" spans="1:12" ht="18" customHeight="1">
      <c r="A7" s="28" t="s">
        <v>6</v>
      </c>
      <c r="B7" s="35" t="s">
        <v>7</v>
      </c>
      <c r="C7" s="35" t="s">
        <v>7</v>
      </c>
      <c r="D7" s="35" t="s">
        <v>8</v>
      </c>
      <c r="F7" s="36" t="s">
        <v>103</v>
      </c>
      <c r="G7" s="36" t="s">
        <v>10</v>
      </c>
      <c r="H7" s="84" t="s">
        <v>104</v>
      </c>
      <c r="I7" s="87">
        <v>70000000</v>
      </c>
      <c r="J7" s="87"/>
      <c r="K7" s="153">
        <f>SUM(I7:J7)</f>
        <v>70000000</v>
      </c>
    </row>
    <row r="8" spans="1:12" ht="18" customHeight="1">
      <c r="A8" s="28" t="s">
        <v>6</v>
      </c>
      <c r="B8" s="35" t="s">
        <v>7</v>
      </c>
      <c r="C8" s="35" t="s">
        <v>7</v>
      </c>
      <c r="D8" s="35" t="s">
        <v>8</v>
      </c>
      <c r="F8" s="36" t="s">
        <v>105</v>
      </c>
      <c r="G8" s="36" t="s">
        <v>10</v>
      </c>
      <c r="H8" s="84" t="s">
        <v>106</v>
      </c>
      <c r="I8" s="87">
        <v>85000000</v>
      </c>
      <c r="J8" s="87"/>
      <c r="K8" s="153">
        <f t="shared" ref="K8:K28" si="0">SUM(I8:J8)</f>
        <v>85000000</v>
      </c>
    </row>
    <row r="9" spans="1:12" ht="18" customHeight="1">
      <c r="A9" s="28" t="s">
        <v>6</v>
      </c>
      <c r="B9" s="35" t="s">
        <v>13</v>
      </c>
      <c r="C9" s="35" t="s">
        <v>13</v>
      </c>
      <c r="D9" s="35" t="s">
        <v>8</v>
      </c>
      <c r="F9" s="47" t="s">
        <v>107</v>
      </c>
      <c r="G9" s="47" t="s">
        <v>10</v>
      </c>
      <c r="H9" s="111" t="s">
        <v>109</v>
      </c>
      <c r="I9" s="64">
        <v>95000000</v>
      </c>
      <c r="J9" s="64"/>
      <c r="K9" s="148">
        <f t="shared" si="0"/>
        <v>95000000</v>
      </c>
    </row>
    <row r="10" spans="1:12" ht="18" customHeight="1">
      <c r="A10" s="28" t="s">
        <v>6</v>
      </c>
      <c r="B10" s="42" t="s">
        <v>26</v>
      </c>
      <c r="C10" s="42" t="s">
        <v>7</v>
      </c>
      <c r="D10" s="35" t="s">
        <v>8</v>
      </c>
      <c r="F10" s="36" t="s">
        <v>108</v>
      </c>
      <c r="G10" s="36" t="s">
        <v>10</v>
      </c>
      <c r="H10" s="37" t="s">
        <v>292</v>
      </c>
      <c r="I10" s="60">
        <v>80000000</v>
      </c>
      <c r="J10" s="60"/>
      <c r="K10" s="143">
        <f t="shared" si="0"/>
        <v>80000000</v>
      </c>
    </row>
    <row r="11" spans="1:12" ht="18" customHeight="1">
      <c r="A11" s="28" t="s">
        <v>6</v>
      </c>
      <c r="B11" s="35"/>
      <c r="C11" s="35" t="s">
        <v>7</v>
      </c>
      <c r="D11" s="35" t="s">
        <v>20</v>
      </c>
      <c r="F11" s="43" t="s">
        <v>110</v>
      </c>
      <c r="G11" s="101" t="s">
        <v>17</v>
      </c>
      <c r="H11" s="45" t="s">
        <v>111</v>
      </c>
      <c r="I11" s="63">
        <f>SUM(I7:I10)</f>
        <v>330000000</v>
      </c>
      <c r="J11" s="63">
        <f>SUM(J7:J10)</f>
        <v>0</v>
      </c>
      <c r="K11" s="63">
        <f t="shared" si="0"/>
        <v>330000000</v>
      </c>
    </row>
    <row r="12" spans="1:12" ht="18" customHeight="1">
      <c r="A12" s="28" t="s">
        <v>6</v>
      </c>
      <c r="B12" s="35"/>
      <c r="C12" s="35"/>
      <c r="D12" s="35"/>
      <c r="F12" s="46"/>
      <c r="I12" s="135"/>
      <c r="J12" s="150"/>
      <c r="K12" s="144"/>
    </row>
    <row r="13" spans="1:12" ht="18" customHeight="1">
      <c r="A13" s="28" t="s">
        <v>6</v>
      </c>
      <c r="B13" s="35" t="s">
        <v>7</v>
      </c>
      <c r="C13" s="35" t="s">
        <v>7</v>
      </c>
      <c r="D13" s="35" t="s">
        <v>8</v>
      </c>
      <c r="F13" s="36" t="s">
        <v>112</v>
      </c>
      <c r="G13" s="36" t="s">
        <v>10</v>
      </c>
      <c r="H13" s="84" t="s">
        <v>113</v>
      </c>
      <c r="I13" s="87">
        <v>125000000</v>
      </c>
      <c r="J13" s="87"/>
      <c r="K13" s="153">
        <f t="shared" si="0"/>
        <v>125000000</v>
      </c>
    </row>
    <row r="14" spans="1:12" ht="18" customHeight="1">
      <c r="A14" s="28" t="s">
        <v>6</v>
      </c>
      <c r="B14" s="35" t="s">
        <v>7</v>
      </c>
      <c r="C14" s="35" t="s">
        <v>7</v>
      </c>
      <c r="D14" s="35" t="s">
        <v>8</v>
      </c>
      <c r="F14" s="38" t="s">
        <v>114</v>
      </c>
      <c r="G14" s="38" t="s">
        <v>10</v>
      </c>
      <c r="H14" s="84" t="s">
        <v>368</v>
      </c>
      <c r="I14" s="87">
        <v>75000000</v>
      </c>
      <c r="J14" s="87"/>
      <c r="K14" s="153">
        <f t="shared" si="0"/>
        <v>75000000</v>
      </c>
      <c r="L14" s="30" t="s">
        <v>362</v>
      </c>
    </row>
    <row r="15" spans="1:12" ht="18" customHeight="1">
      <c r="A15" s="28" t="s">
        <v>6</v>
      </c>
      <c r="B15" s="35" t="s">
        <v>13</v>
      </c>
      <c r="C15" s="35" t="s">
        <v>13</v>
      </c>
      <c r="D15" s="35" t="s">
        <v>14</v>
      </c>
      <c r="F15" s="47" t="s">
        <v>115</v>
      </c>
      <c r="G15" s="47" t="s">
        <v>10</v>
      </c>
      <c r="H15" s="82" t="s">
        <v>116</v>
      </c>
      <c r="I15" s="86">
        <v>45000000</v>
      </c>
      <c r="J15" s="86"/>
      <c r="K15" s="149">
        <f t="shared" si="0"/>
        <v>45000000</v>
      </c>
    </row>
    <row r="16" spans="1:12" ht="18" customHeight="1">
      <c r="A16" s="28" t="s">
        <v>6</v>
      </c>
      <c r="B16" s="35"/>
      <c r="C16" s="35" t="s">
        <v>7</v>
      </c>
      <c r="D16" s="35" t="s">
        <v>20</v>
      </c>
      <c r="F16" s="43" t="s">
        <v>117</v>
      </c>
      <c r="G16" s="43" t="s">
        <v>17</v>
      </c>
      <c r="H16" s="45" t="s">
        <v>118</v>
      </c>
      <c r="I16" s="63">
        <f>SUM(I13:I15)</f>
        <v>245000000</v>
      </c>
      <c r="J16" s="63">
        <f>SUM(J13:J15)</f>
        <v>0</v>
      </c>
      <c r="K16" s="63">
        <f t="shared" si="0"/>
        <v>245000000</v>
      </c>
    </row>
    <row r="17" spans="1:11" ht="18" customHeight="1">
      <c r="A17" s="28" t="s">
        <v>6</v>
      </c>
      <c r="B17" s="42"/>
      <c r="C17" s="42"/>
      <c r="D17" s="42"/>
      <c r="F17" s="46"/>
      <c r="I17" s="135"/>
      <c r="J17" s="150"/>
      <c r="K17" s="144"/>
    </row>
    <row r="18" spans="1:11" ht="18" customHeight="1">
      <c r="A18" s="28" t="s">
        <v>6</v>
      </c>
      <c r="B18" s="35" t="s">
        <v>7</v>
      </c>
      <c r="C18" s="35" t="s">
        <v>7</v>
      </c>
      <c r="D18" s="35" t="s">
        <v>8</v>
      </c>
      <c r="F18" s="36" t="s">
        <v>119</v>
      </c>
      <c r="G18" s="36" t="s">
        <v>10</v>
      </c>
      <c r="H18" s="84" t="s">
        <v>120</v>
      </c>
      <c r="I18" s="87">
        <v>200000000</v>
      </c>
      <c r="J18" s="87"/>
      <c r="K18" s="153">
        <f t="shared" si="0"/>
        <v>200000000</v>
      </c>
    </row>
    <row r="19" spans="1:11" ht="18" customHeight="1">
      <c r="A19" s="28" t="s">
        <v>6</v>
      </c>
      <c r="B19" s="35" t="s">
        <v>13</v>
      </c>
      <c r="C19" s="35" t="s">
        <v>13</v>
      </c>
      <c r="D19" s="35" t="s">
        <v>8</v>
      </c>
      <c r="F19" s="47" t="s">
        <v>121</v>
      </c>
      <c r="G19" s="47" t="s">
        <v>10</v>
      </c>
      <c r="H19" s="82" t="s">
        <v>122</v>
      </c>
      <c r="I19" s="86">
        <v>75000000</v>
      </c>
      <c r="J19" s="86"/>
      <c r="K19" s="149">
        <f t="shared" si="0"/>
        <v>75000000</v>
      </c>
    </row>
    <row r="20" spans="1:11" ht="18" customHeight="1">
      <c r="A20" s="28" t="s">
        <v>6</v>
      </c>
      <c r="B20" s="35" t="s">
        <v>7</v>
      </c>
      <c r="C20" s="35" t="s">
        <v>7</v>
      </c>
      <c r="D20" s="35"/>
      <c r="F20" s="47" t="s">
        <v>275</v>
      </c>
      <c r="G20" s="47"/>
      <c r="H20" s="82" t="s">
        <v>273</v>
      </c>
      <c r="I20" s="86">
        <v>250000000</v>
      </c>
      <c r="J20" s="86"/>
      <c r="K20" s="149">
        <f t="shared" si="0"/>
        <v>250000000</v>
      </c>
    </row>
    <row r="21" spans="1:11" ht="18" customHeight="1">
      <c r="A21" s="28" t="s">
        <v>6</v>
      </c>
      <c r="B21" s="35"/>
      <c r="C21" s="35" t="s">
        <v>7</v>
      </c>
      <c r="D21" s="35" t="s">
        <v>20</v>
      </c>
      <c r="F21" s="90" t="s">
        <v>123</v>
      </c>
      <c r="G21" s="112" t="s">
        <v>17</v>
      </c>
      <c r="H21" s="50" t="s">
        <v>124</v>
      </c>
      <c r="I21" s="65">
        <f>SUM(I18:I20)</f>
        <v>525000000</v>
      </c>
      <c r="J21" s="65">
        <f>SUM(J18:J20)</f>
        <v>0</v>
      </c>
      <c r="K21" s="65">
        <f t="shared" si="0"/>
        <v>525000000</v>
      </c>
    </row>
    <row r="22" spans="1:11" ht="18" customHeight="1">
      <c r="A22" s="28" t="s">
        <v>6</v>
      </c>
      <c r="B22" s="42"/>
      <c r="C22" s="42"/>
      <c r="D22" s="35"/>
      <c r="F22" s="46"/>
      <c r="I22" s="135"/>
      <c r="J22" s="150"/>
      <c r="K22" s="144"/>
    </row>
    <row r="23" spans="1:11" ht="18" customHeight="1">
      <c r="A23" s="28" t="s">
        <v>6</v>
      </c>
      <c r="B23" s="42" t="s">
        <v>19</v>
      </c>
      <c r="C23" s="42" t="s">
        <v>19</v>
      </c>
      <c r="D23" s="35" t="s">
        <v>8</v>
      </c>
      <c r="F23" s="47" t="s">
        <v>125</v>
      </c>
      <c r="G23" s="47" t="s">
        <v>10</v>
      </c>
      <c r="H23" s="48" t="s">
        <v>287</v>
      </c>
      <c r="I23" s="64">
        <v>35000000</v>
      </c>
      <c r="J23" s="64"/>
      <c r="K23" s="148">
        <f t="shared" si="0"/>
        <v>35000000</v>
      </c>
    </row>
    <row r="24" spans="1:11" ht="18" customHeight="1">
      <c r="A24" s="28" t="s">
        <v>6</v>
      </c>
      <c r="B24" s="42" t="s">
        <v>19</v>
      </c>
      <c r="C24" s="42" t="s">
        <v>19</v>
      </c>
      <c r="D24" s="35" t="s">
        <v>8</v>
      </c>
      <c r="F24" s="81" t="s">
        <v>354</v>
      </c>
      <c r="G24" s="81" t="s">
        <v>10</v>
      </c>
      <c r="H24" s="82" t="s">
        <v>126</v>
      </c>
      <c r="I24" s="86">
        <v>40000000</v>
      </c>
      <c r="J24" s="86"/>
      <c r="K24" s="149">
        <f>SUM(I24:J24)</f>
        <v>40000000</v>
      </c>
    </row>
    <row r="25" spans="1:11" s="26" customFormat="1" ht="18" customHeight="1">
      <c r="A25" s="28" t="s">
        <v>6</v>
      </c>
      <c r="B25" s="42" t="s">
        <v>19</v>
      </c>
      <c r="C25" s="42" t="s">
        <v>19</v>
      </c>
      <c r="D25" s="35" t="s">
        <v>14</v>
      </c>
      <c r="E25" s="171"/>
      <c r="F25" s="174" t="s">
        <v>127</v>
      </c>
      <c r="G25" s="174" t="s">
        <v>10</v>
      </c>
      <c r="H25" s="175" t="s">
        <v>346</v>
      </c>
      <c r="I25" s="176">
        <v>0</v>
      </c>
      <c r="J25" s="176"/>
      <c r="K25" s="177">
        <f t="shared" si="0"/>
        <v>0</v>
      </c>
    </row>
    <row r="26" spans="1:11" ht="18" customHeight="1">
      <c r="A26" s="28" t="s">
        <v>6</v>
      </c>
      <c r="B26" s="35"/>
      <c r="C26" s="42" t="s">
        <v>19</v>
      </c>
      <c r="D26" s="35" t="s">
        <v>20</v>
      </c>
      <c r="F26" s="49" t="s">
        <v>128</v>
      </c>
      <c r="G26" s="49" t="s">
        <v>17</v>
      </c>
      <c r="H26" s="50" t="s">
        <v>129</v>
      </c>
      <c r="I26" s="65">
        <f>SUM(I23:I25)</f>
        <v>75000000</v>
      </c>
      <c r="J26" s="65">
        <f>SUM(J23:J25)</f>
        <v>0</v>
      </c>
      <c r="K26" s="65">
        <f t="shared" si="0"/>
        <v>75000000</v>
      </c>
    </row>
    <row r="27" spans="1:11" ht="18" customHeight="1">
      <c r="A27" s="28" t="s">
        <v>6</v>
      </c>
      <c r="B27" s="35"/>
      <c r="C27" s="35"/>
      <c r="D27" s="35"/>
      <c r="F27" s="46"/>
      <c r="I27" s="135"/>
      <c r="J27" s="150"/>
      <c r="K27" s="144"/>
    </row>
    <row r="28" spans="1:11" ht="18" customHeight="1">
      <c r="A28" s="28" t="s">
        <v>6</v>
      </c>
      <c r="B28" s="35" t="s">
        <v>30</v>
      </c>
      <c r="C28" s="35" t="s">
        <v>21</v>
      </c>
      <c r="D28" s="35" t="s">
        <v>271</v>
      </c>
      <c r="F28" s="90" t="s">
        <v>298</v>
      </c>
      <c r="G28" s="49" t="s">
        <v>49</v>
      </c>
      <c r="H28" s="50" t="s">
        <v>130</v>
      </c>
      <c r="I28" s="65">
        <v>75000000</v>
      </c>
      <c r="J28" s="65">
        <v>349000000</v>
      </c>
      <c r="K28" s="65">
        <f t="shared" si="0"/>
        <v>424000000</v>
      </c>
    </row>
    <row r="29" spans="1:11" ht="18" customHeight="1">
      <c r="A29" s="28" t="s">
        <v>6</v>
      </c>
      <c r="B29" s="42"/>
      <c r="C29" s="42"/>
      <c r="D29" s="42"/>
      <c r="F29" s="46"/>
      <c r="I29" s="135"/>
      <c r="J29" s="150"/>
      <c r="K29" s="144"/>
    </row>
    <row r="30" spans="1:11" ht="24.95" customHeight="1">
      <c r="A30" s="28" t="s">
        <v>6</v>
      </c>
      <c r="B30" s="35"/>
      <c r="C30" s="35" t="s">
        <v>52</v>
      </c>
      <c r="D30" s="42" t="s">
        <v>31</v>
      </c>
      <c r="F30" s="51" t="s">
        <v>131</v>
      </c>
      <c r="G30" s="51" t="s">
        <v>52</v>
      </c>
      <c r="H30" s="52" t="s">
        <v>132</v>
      </c>
      <c r="I30" s="66">
        <f>I11+I16+I21+I26+I28</f>
        <v>1250000000</v>
      </c>
      <c r="J30" s="66">
        <f>J11+J16+J21+J26+J28</f>
        <v>349000000</v>
      </c>
      <c r="K30" s="66">
        <f>SUM(I30:J30)</f>
        <v>1599000000</v>
      </c>
    </row>
    <row r="37" spans="1:11" s="27" customFormat="1" ht="18" customHeight="1">
      <c r="A37" s="2"/>
      <c r="B37" s="73"/>
      <c r="C37" s="73"/>
      <c r="D37" s="73"/>
      <c r="E37" s="28"/>
      <c r="F37" s="53" t="s">
        <v>54</v>
      </c>
      <c r="G37" s="229" t="s">
        <v>55</v>
      </c>
      <c r="H37" s="229"/>
      <c r="I37" s="67" t="s">
        <v>5</v>
      </c>
      <c r="J37" s="137"/>
      <c r="K37" s="137"/>
    </row>
    <row r="38" spans="1:11" ht="18" customHeight="1">
      <c r="A38" s="4"/>
      <c r="B38" s="73"/>
      <c r="C38" s="73"/>
      <c r="D38" s="73"/>
      <c r="F38" s="54" t="s">
        <v>7</v>
      </c>
      <c r="G38" s="230">
        <f>COUNTIF($B$7:$B$30,"UTM")</f>
        <v>6</v>
      </c>
      <c r="H38" s="230"/>
      <c r="I38" s="67">
        <f>SUMIFS($K$7:$K$30,$B$7:$B$30,F38)</f>
        <v>805000000</v>
      </c>
      <c r="J38" s="137"/>
      <c r="K38" s="137"/>
    </row>
    <row r="39" spans="1:11" ht="18" customHeight="1">
      <c r="A39" s="4"/>
      <c r="B39" s="73"/>
      <c r="C39" s="73"/>
      <c r="D39" s="73"/>
      <c r="F39" s="54" t="s">
        <v>13</v>
      </c>
      <c r="G39" s="230">
        <f>COUNTIF($B$7:$B$30,"SPM")</f>
        <v>3</v>
      </c>
      <c r="H39" s="230"/>
      <c r="I39" s="67">
        <f>SUMIFS($K$7:$K$30,$B$7:$B$30,F39)</f>
        <v>215000000</v>
      </c>
      <c r="J39" s="137"/>
      <c r="K39" s="137"/>
    </row>
    <row r="40" spans="1:11" ht="18" customHeight="1">
      <c r="A40" s="4"/>
      <c r="B40" s="73"/>
      <c r="C40" s="73"/>
      <c r="D40" s="73"/>
      <c r="F40" s="54" t="s">
        <v>19</v>
      </c>
      <c r="G40" s="230">
        <f>COUNTIF($B$7:$B$30,"PMT")</f>
        <v>3</v>
      </c>
      <c r="H40" s="230"/>
      <c r="I40" s="67">
        <f>SUMIFS($K$7:$K$30,$B$7:$B$30,F40)</f>
        <v>75000000</v>
      </c>
      <c r="J40" s="137"/>
      <c r="K40" s="137"/>
    </row>
    <row r="41" spans="1:11" ht="18" customHeight="1">
      <c r="A41" s="4"/>
      <c r="B41" s="73"/>
      <c r="C41" s="73"/>
      <c r="D41" s="73"/>
      <c r="F41" s="54" t="s">
        <v>21</v>
      </c>
      <c r="G41" s="230">
        <f>COUNTIF($B$7:$B$30,"PRM")</f>
        <v>0</v>
      </c>
      <c r="H41" s="230"/>
      <c r="I41" s="67">
        <f>I28</f>
        <v>75000000</v>
      </c>
      <c r="J41" s="137"/>
      <c r="K41" s="137"/>
    </row>
    <row r="42" spans="1:11" ht="18" customHeight="1">
      <c r="A42" s="4"/>
      <c r="B42" s="73"/>
      <c r="C42" s="73"/>
      <c r="D42" s="73"/>
      <c r="F42" s="54" t="s">
        <v>26</v>
      </c>
      <c r="G42" s="230">
        <f>COUNTIF($B$7:$B$30,"COMBO UTM-SPM")</f>
        <v>1</v>
      </c>
      <c r="H42" s="230"/>
      <c r="I42" s="67">
        <f>SUMIFS($K$7:$K$30,$B$7:$B$30,F42)</f>
        <v>80000000</v>
      </c>
      <c r="J42" s="137"/>
      <c r="K42" s="137"/>
    </row>
    <row r="43" spans="1:11" ht="18" customHeight="1">
      <c r="A43" s="4"/>
      <c r="B43" s="73"/>
      <c r="C43" s="73"/>
      <c r="D43" s="73"/>
      <c r="F43" s="54" t="s">
        <v>27</v>
      </c>
      <c r="G43" s="230">
        <f>COUNTIF($B$7:$B$30,"COMBO UTM-SPM-PMT")</f>
        <v>0</v>
      </c>
      <c r="H43" s="230"/>
      <c r="I43" s="67">
        <f>SUMIFS($K$7:$K$30,$B$7:$B$30,F43)</f>
        <v>0</v>
      </c>
      <c r="J43" s="137"/>
      <c r="K43" s="137"/>
    </row>
    <row r="44" spans="1:11" ht="18" customHeight="1">
      <c r="A44" s="4"/>
      <c r="B44" s="73"/>
      <c r="C44" s="73"/>
      <c r="D44" s="73"/>
      <c r="F44" s="54" t="s">
        <v>29</v>
      </c>
      <c r="G44" s="230">
        <f>COUNTIF($B$7:$B$30,"COMBO UTM-SPM-PRM-PNC")</f>
        <v>0</v>
      </c>
      <c r="H44" s="230"/>
      <c r="I44" s="67">
        <f>SUMIFS($K$7:$K$30,$B$7:$B$30,F44)</f>
        <v>0</v>
      </c>
      <c r="J44" s="137"/>
      <c r="K44" s="137"/>
    </row>
    <row r="45" spans="1:11" ht="18" customHeight="1">
      <c r="A45" s="4"/>
      <c r="B45" s="73"/>
      <c r="C45" s="73"/>
      <c r="D45" s="73"/>
      <c r="F45" s="54" t="s">
        <v>30</v>
      </c>
      <c r="G45" s="230">
        <f>COUNTIF($B$7:$B$30,"COMBO PRM-PNC")</f>
        <v>1</v>
      </c>
      <c r="H45" s="230"/>
      <c r="I45" s="67">
        <v>0</v>
      </c>
      <c r="J45" s="137"/>
      <c r="K45" s="137"/>
    </row>
    <row r="46" spans="1:11" ht="18" customHeight="1">
      <c r="A46" s="4"/>
      <c r="B46" s="73"/>
      <c r="C46" s="73"/>
      <c r="D46" s="73"/>
      <c r="F46" s="54" t="s">
        <v>33</v>
      </c>
      <c r="G46" s="230">
        <f>COUNTIF($B$7:$B$30,"COMBO ALL DIV")</f>
        <v>0</v>
      </c>
      <c r="H46" s="230"/>
      <c r="I46" s="67">
        <f>SUMIFS($K$7:$K$30,$B$7:$B$30,F46)</f>
        <v>0</v>
      </c>
      <c r="J46" s="137"/>
      <c r="K46" s="137"/>
    </row>
    <row r="47" spans="1:11" ht="18" customHeight="1">
      <c r="A47" s="4"/>
      <c r="B47" s="73"/>
      <c r="C47" s="73"/>
      <c r="D47" s="73"/>
      <c r="F47" s="54" t="s">
        <v>23</v>
      </c>
      <c r="G47" s="230">
        <f>COUNTIF($B$7:$B$30,"PNC")</f>
        <v>0</v>
      </c>
      <c r="H47" s="230"/>
      <c r="I47" s="67">
        <f>J28</f>
        <v>349000000</v>
      </c>
      <c r="J47" s="137"/>
      <c r="K47" s="137"/>
    </row>
    <row r="48" spans="1:11" ht="18" customHeight="1">
      <c r="A48" s="4"/>
      <c r="B48" s="73"/>
      <c r="C48" s="73"/>
      <c r="D48" s="73"/>
      <c r="F48" s="53" t="s">
        <v>56</v>
      </c>
      <c r="G48" s="231">
        <f>SUM(G38:H47)</f>
        <v>14</v>
      </c>
      <c r="H48" s="231"/>
      <c r="I48" s="67">
        <f>SUM(I38:I47)</f>
        <v>1599000000</v>
      </c>
      <c r="J48" s="137"/>
      <c r="K48" s="137"/>
    </row>
    <row r="49" spans="1:11" ht="18" customHeight="1">
      <c r="B49" s="73"/>
      <c r="C49" s="73"/>
      <c r="D49" s="73"/>
    </row>
    <row r="50" spans="1:11" s="27" customFormat="1" ht="18" customHeight="1">
      <c r="A50" s="2"/>
      <c r="B50" s="73"/>
      <c r="C50" s="73"/>
      <c r="D50" s="73"/>
      <c r="E50" s="28"/>
      <c r="F50" s="53" t="s">
        <v>3</v>
      </c>
      <c r="G50" s="56" t="s">
        <v>56</v>
      </c>
      <c r="H50" s="56" t="s">
        <v>57</v>
      </c>
      <c r="I50" s="68" t="s">
        <v>58</v>
      </c>
      <c r="J50" s="151"/>
      <c r="K50" s="151"/>
    </row>
    <row r="51" spans="1:11" ht="18" customHeight="1">
      <c r="A51" s="4"/>
      <c r="B51" s="73"/>
      <c r="C51" s="73"/>
      <c r="D51" s="73"/>
      <c r="F51" s="54" t="s">
        <v>10</v>
      </c>
      <c r="G51" s="55">
        <f>COUNTIF($G$7:$G$30,"PS")</f>
        <v>12</v>
      </c>
      <c r="H51" s="57">
        <f>COUNTIF($D$7:$D$30,"PS TERISI")</f>
        <v>10</v>
      </c>
      <c r="I51" s="69">
        <f t="shared" ref="I51:I56" si="1">G51-H51</f>
        <v>2</v>
      </c>
      <c r="J51" s="152"/>
      <c r="K51" s="151"/>
    </row>
    <row r="52" spans="1:11" ht="18" customHeight="1">
      <c r="A52" s="4"/>
      <c r="B52" s="73"/>
      <c r="C52" s="73"/>
      <c r="D52" s="73"/>
      <c r="F52" s="54" t="s">
        <v>100</v>
      </c>
      <c r="G52" s="55">
        <f>COUNTIF($G$7:$G$30,"AE")</f>
        <v>0</v>
      </c>
      <c r="H52" s="57">
        <f>COUNTIF($D$7:$D$30,"AE TERISI")</f>
        <v>0</v>
      </c>
      <c r="I52" s="69">
        <f t="shared" si="1"/>
        <v>0</v>
      </c>
      <c r="J52" s="152"/>
      <c r="K52" s="151"/>
    </row>
    <row r="53" spans="1:11" ht="18" customHeight="1">
      <c r="A53" s="4"/>
      <c r="B53" s="73"/>
      <c r="C53" s="73"/>
      <c r="D53" s="73"/>
      <c r="F53" s="54" t="s">
        <v>49</v>
      </c>
      <c r="G53" s="55">
        <f>COUNTIF($G$7:$G$30,"AM")</f>
        <v>1</v>
      </c>
      <c r="H53" s="57">
        <f>COUNTIF($D$7:$D$30,"AM TERISI")</f>
        <v>1</v>
      </c>
      <c r="I53" s="69">
        <f t="shared" si="1"/>
        <v>0</v>
      </c>
      <c r="J53" s="152"/>
      <c r="K53" s="151"/>
    </row>
    <row r="54" spans="1:11" ht="18" customHeight="1">
      <c r="A54" s="4"/>
      <c r="B54" s="73"/>
      <c r="C54" s="73"/>
      <c r="D54" s="73"/>
      <c r="F54" s="54" t="s">
        <v>17</v>
      </c>
      <c r="G54" s="55">
        <f>COUNTIF($G$7:$G$30,"DM")</f>
        <v>4</v>
      </c>
      <c r="H54" s="57">
        <f>COUNTIF($D$7:$D$30,"DM TERISI")</f>
        <v>4</v>
      </c>
      <c r="I54" s="69">
        <f t="shared" si="1"/>
        <v>0</v>
      </c>
      <c r="J54" s="152"/>
      <c r="K54" s="151"/>
    </row>
    <row r="55" spans="1:11" ht="18" customHeight="1">
      <c r="A55" s="4"/>
      <c r="B55" s="73"/>
      <c r="C55" s="73"/>
      <c r="D55" s="73"/>
      <c r="F55" s="54" t="s">
        <v>32</v>
      </c>
      <c r="G55" s="55">
        <f>COUNTIF($G$7:$G$30,"RSM")</f>
        <v>0</v>
      </c>
      <c r="H55" s="57">
        <f>COUNTIF($D$7:$D$30,"RSM TERISI")</f>
        <v>0</v>
      </c>
      <c r="I55" s="69">
        <f t="shared" si="1"/>
        <v>0</v>
      </c>
      <c r="J55" s="152"/>
      <c r="K55" s="151"/>
    </row>
    <row r="56" spans="1:11" ht="18" customHeight="1">
      <c r="A56" s="4"/>
      <c r="B56" s="73"/>
      <c r="C56" s="73"/>
      <c r="D56" s="73"/>
      <c r="F56" s="54" t="s">
        <v>52</v>
      </c>
      <c r="G56" s="55">
        <f>COUNTIF($G$7:$G$30,"BCO")</f>
        <v>1</v>
      </c>
      <c r="H56" s="57">
        <f>COUNTIF($D$7:$D$30,"BCO TERISI")</f>
        <v>1</v>
      </c>
      <c r="I56" s="69">
        <f t="shared" si="1"/>
        <v>0</v>
      </c>
      <c r="J56" s="152"/>
      <c r="K56" s="151"/>
    </row>
    <row r="57" spans="1:11" ht="18" customHeight="1">
      <c r="A57" s="4"/>
      <c r="B57" s="73"/>
      <c r="C57" s="73"/>
      <c r="D57" s="73"/>
      <c r="F57" s="53" t="s">
        <v>56</v>
      </c>
      <c r="G57" s="56">
        <f>SUM(G51:G56)</f>
        <v>18</v>
      </c>
      <c r="H57" s="56">
        <f>SUM(H51:H56)</f>
        <v>16</v>
      </c>
      <c r="I57" s="68">
        <f>SUM(I51:I56)</f>
        <v>2</v>
      </c>
      <c r="J57" s="151"/>
      <c r="K57" s="151"/>
    </row>
    <row r="58" spans="1:11" ht="18" customHeight="1">
      <c r="A58" s="4"/>
      <c r="B58" s="4"/>
      <c r="C58" s="4"/>
      <c r="D58" s="4"/>
      <c r="H58" s="58">
        <f>H57/G57</f>
        <v>0.88888888888888884</v>
      </c>
      <c r="I58" s="70">
        <f>I57/G57</f>
        <v>0.1111111111111111</v>
      </c>
      <c r="J58" s="151"/>
      <c r="K58" s="151"/>
    </row>
  </sheetData>
  <mergeCells count="23">
    <mergeCell ref="J4:J5"/>
    <mergeCell ref="K4:K5"/>
    <mergeCell ref="B4:B5"/>
    <mergeCell ref="D4:D5"/>
    <mergeCell ref="F4:F5"/>
    <mergeCell ref="G4:G5"/>
    <mergeCell ref="C4:C5"/>
    <mergeCell ref="F2:K2"/>
    <mergeCell ref="F1:K1"/>
    <mergeCell ref="G48:H48"/>
    <mergeCell ref="G39:H39"/>
    <mergeCell ref="G40:H40"/>
    <mergeCell ref="G41:H41"/>
    <mergeCell ref="G42:H42"/>
    <mergeCell ref="G47:H47"/>
    <mergeCell ref="G43:H43"/>
    <mergeCell ref="G44:H44"/>
    <mergeCell ref="G45:H45"/>
    <mergeCell ref="G46:H46"/>
    <mergeCell ref="G38:H38"/>
    <mergeCell ref="H4:H5"/>
    <mergeCell ref="G37:H37"/>
    <mergeCell ref="I4:I5"/>
  </mergeCells>
  <conditionalFormatting sqref="D4">
    <cfRule type="duplicateValues" dxfId="39" priority="1"/>
  </conditionalFormatting>
  <conditionalFormatting sqref="F4">
    <cfRule type="duplicateValues" dxfId="38" priority="4"/>
  </conditionalFormatting>
  <conditionalFormatting sqref="F30">
    <cfRule type="duplicateValues" dxfId="37" priority="5"/>
  </conditionalFormatting>
  <conditionalFormatting sqref="F38:F47">
    <cfRule type="duplicateValues" dxfId="36" priority="2"/>
  </conditionalFormatting>
  <printOptions horizontalCentered="1"/>
  <pageMargins left="0.31496062992126" right="0.23622047244094499" top="0.43307086614173201" bottom="0.43307086614173201" header="0.31496062992126" footer="0.31496062992126"/>
  <pageSetup paperSize="9" scale="71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NAD!$B$5:$B$13</xm:f>
          </x14:formula1>
          <xm:sqref>B7:B30</xm:sqref>
        </x14:dataValidation>
        <x14:dataValidation type="list" allowBlank="1" showInputMessage="1" showErrorMessage="1" xr:uid="{00000000-0002-0000-0300-000001000000}">
          <x14:formula1>
            <xm:f>NAD!$D$5:$D$16</xm:f>
          </x14:formula1>
          <xm:sqref>D7:D30</xm:sqref>
        </x14:dataValidation>
        <x14:dataValidation type="list" allowBlank="1" showInputMessage="1" showErrorMessage="1" xr:uid="{01666CD4-5504-401D-8693-FFFC79E2F3A3}">
          <x14:formula1>
            <xm:f>NAD!$C$5:$C$10</xm:f>
          </x14:formula1>
          <xm:sqref>C7:C30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L58"/>
  <sheetViews>
    <sheetView showGridLines="0" tabSelected="1"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T16" sqref="T16"/>
    </sheetView>
  </sheetViews>
  <sheetFormatPr defaultColWidth="3.5703125" defaultRowHeight="18" customHeight="1"/>
  <cols>
    <col min="1" max="1" width="2.5703125" style="28" customWidth="1"/>
    <col min="2" max="2" width="20.5703125" style="33" customWidth="1"/>
    <col min="3" max="4" width="11.5703125" style="33" customWidth="1"/>
    <col min="5" max="5" width="2.5703125" style="28" customWidth="1"/>
    <col min="6" max="6" width="35.5703125" style="28" customWidth="1"/>
    <col min="7" max="7" width="10.5703125" style="28" customWidth="1"/>
    <col min="8" max="8" width="41.42578125" style="28" customWidth="1"/>
    <col min="9" max="9" width="24.28515625" style="29" bestFit="1" customWidth="1"/>
    <col min="10" max="10" width="22.140625" style="136" bestFit="1" customWidth="1"/>
    <col min="11" max="11" width="24.28515625" style="157" bestFit="1" customWidth="1"/>
    <col min="12" max="16384" width="3.5703125" style="30"/>
  </cols>
  <sheetData>
    <row r="1" spans="1:12" ht="24.95" customHeight="1">
      <c r="F1" s="224" t="s">
        <v>365</v>
      </c>
      <c r="G1" s="224"/>
      <c r="H1" s="224"/>
      <c r="I1" s="224"/>
      <c r="J1" s="224"/>
      <c r="K1" s="224"/>
    </row>
    <row r="2" spans="1:12" ht="24.95" customHeight="1">
      <c r="B2" s="73"/>
      <c r="C2" s="73"/>
      <c r="D2" s="73"/>
      <c r="F2" s="224" t="s">
        <v>319</v>
      </c>
      <c r="G2" s="224"/>
      <c r="H2" s="224"/>
      <c r="I2" s="224"/>
      <c r="J2" s="224"/>
      <c r="K2" s="224"/>
    </row>
    <row r="3" spans="1:12" ht="18" customHeight="1">
      <c r="B3" s="127"/>
      <c r="C3" s="127"/>
      <c r="D3" s="127"/>
      <c r="F3" s="31"/>
      <c r="G3" s="31"/>
      <c r="H3" s="32"/>
      <c r="I3" s="59"/>
      <c r="J3" s="59"/>
      <c r="K3" s="141"/>
    </row>
    <row r="4" spans="1:12" ht="20.100000000000001" customHeight="1">
      <c r="B4" s="220" t="s">
        <v>0</v>
      </c>
      <c r="C4" s="220" t="s">
        <v>296</v>
      </c>
      <c r="D4" s="220" t="s">
        <v>1</v>
      </c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2" ht="20.100000000000001" customHeight="1">
      <c r="B5" s="221"/>
      <c r="C5" s="221"/>
      <c r="D5" s="221"/>
      <c r="F5" s="223"/>
      <c r="G5" s="223"/>
      <c r="H5" s="223"/>
      <c r="I5" s="226"/>
      <c r="J5" s="228"/>
      <c r="K5" s="228"/>
    </row>
    <row r="6" spans="1:12" ht="9.9499999999999993" customHeight="1">
      <c r="A6" s="28" t="s">
        <v>6</v>
      </c>
      <c r="H6" s="34"/>
      <c r="J6" s="29"/>
      <c r="K6" s="142"/>
    </row>
    <row r="7" spans="1:12" ht="18" customHeight="1">
      <c r="A7" s="28" t="s">
        <v>6</v>
      </c>
      <c r="B7" s="35" t="s">
        <v>7</v>
      </c>
      <c r="C7" s="35" t="s">
        <v>7</v>
      </c>
      <c r="D7" s="35" t="s">
        <v>14</v>
      </c>
      <c r="F7" s="99" t="s">
        <v>133</v>
      </c>
      <c r="G7" s="36" t="s">
        <v>10</v>
      </c>
      <c r="H7" s="84" t="s">
        <v>326</v>
      </c>
      <c r="I7" s="87">
        <v>90000000</v>
      </c>
      <c r="J7" s="87"/>
      <c r="K7" s="153">
        <f>SUM(I7:J7)</f>
        <v>90000000</v>
      </c>
    </row>
    <row r="8" spans="1:12" ht="18" customHeight="1">
      <c r="A8" s="28" t="s">
        <v>6</v>
      </c>
      <c r="B8" s="35" t="s">
        <v>7</v>
      </c>
      <c r="C8" s="35" t="s">
        <v>7</v>
      </c>
      <c r="D8" s="35" t="s">
        <v>8</v>
      </c>
      <c r="F8" s="38" t="s">
        <v>134</v>
      </c>
      <c r="G8" s="38" t="s">
        <v>10</v>
      </c>
      <c r="H8" s="100" t="s">
        <v>135</v>
      </c>
      <c r="I8" s="108">
        <v>95000000</v>
      </c>
      <c r="J8" s="108"/>
      <c r="K8" s="154">
        <f t="shared" ref="K8:K34" si="0">SUM(I8:J8)</f>
        <v>95000000</v>
      </c>
    </row>
    <row r="9" spans="1:12" ht="18" customHeight="1">
      <c r="A9" s="28" t="s">
        <v>6</v>
      </c>
      <c r="B9" s="35" t="s">
        <v>7</v>
      </c>
      <c r="C9" s="35" t="s">
        <v>7</v>
      </c>
      <c r="D9" s="35" t="s">
        <v>8</v>
      </c>
      <c r="F9" s="36" t="s">
        <v>136</v>
      </c>
      <c r="G9" s="36" t="s">
        <v>10</v>
      </c>
      <c r="H9" s="84" t="s">
        <v>327</v>
      </c>
      <c r="I9" s="87">
        <v>100000000</v>
      </c>
      <c r="J9" s="87"/>
      <c r="K9" s="153">
        <f t="shared" si="0"/>
        <v>100000000</v>
      </c>
    </row>
    <row r="10" spans="1:12" ht="18" customHeight="1">
      <c r="A10" s="28" t="s">
        <v>6</v>
      </c>
      <c r="B10" s="42"/>
      <c r="C10" s="35" t="s">
        <v>7</v>
      </c>
      <c r="D10" s="42" t="s">
        <v>20</v>
      </c>
      <c r="F10" s="43" t="s">
        <v>137</v>
      </c>
      <c r="G10" s="101" t="s">
        <v>17</v>
      </c>
      <c r="H10" s="45" t="s">
        <v>138</v>
      </c>
      <c r="I10" s="63">
        <f>SUM(I7:I9)</f>
        <v>285000000</v>
      </c>
      <c r="J10" s="63">
        <f>SUM(J7:J9)</f>
        <v>0</v>
      </c>
      <c r="K10" s="63">
        <f t="shared" si="0"/>
        <v>285000000</v>
      </c>
    </row>
    <row r="11" spans="1:12" ht="18" customHeight="1">
      <c r="A11" s="28" t="s">
        <v>6</v>
      </c>
      <c r="B11" s="35"/>
      <c r="C11" s="35"/>
      <c r="D11" s="35"/>
      <c r="F11" s="46"/>
      <c r="I11" s="135"/>
      <c r="J11" s="150"/>
      <c r="K11" s="144"/>
    </row>
    <row r="12" spans="1:12" ht="18" customHeight="1">
      <c r="A12" s="28" t="s">
        <v>6</v>
      </c>
      <c r="B12" s="35" t="s">
        <v>7</v>
      </c>
      <c r="C12" s="35" t="s">
        <v>7</v>
      </c>
      <c r="D12" s="35" t="s">
        <v>8</v>
      </c>
      <c r="F12" s="36" t="s">
        <v>139</v>
      </c>
      <c r="G12" s="36" t="s">
        <v>10</v>
      </c>
      <c r="H12" s="37" t="s">
        <v>140</v>
      </c>
      <c r="I12" s="60">
        <v>100000000</v>
      </c>
      <c r="J12" s="60"/>
      <c r="K12" s="143">
        <f t="shared" si="0"/>
        <v>100000000</v>
      </c>
    </row>
    <row r="13" spans="1:12" ht="18" customHeight="1">
      <c r="A13" s="28" t="s">
        <v>6</v>
      </c>
      <c r="B13" s="35" t="s">
        <v>7</v>
      </c>
      <c r="C13" s="35" t="s">
        <v>7</v>
      </c>
      <c r="D13" s="35" t="s">
        <v>8</v>
      </c>
      <c r="F13" s="36" t="s">
        <v>141</v>
      </c>
      <c r="G13" s="36" t="s">
        <v>10</v>
      </c>
      <c r="H13" s="84" t="s">
        <v>374</v>
      </c>
      <c r="I13" s="87">
        <v>80000000</v>
      </c>
      <c r="J13" s="87"/>
      <c r="K13" s="153">
        <f t="shared" si="0"/>
        <v>80000000</v>
      </c>
      <c r="L13" s="30" t="s">
        <v>362</v>
      </c>
    </row>
    <row r="14" spans="1:12" ht="18" customHeight="1">
      <c r="A14" s="28" t="s">
        <v>6</v>
      </c>
      <c r="B14" s="35" t="s">
        <v>7</v>
      </c>
      <c r="C14" s="35" t="s">
        <v>7</v>
      </c>
      <c r="D14" s="35" t="s">
        <v>8</v>
      </c>
      <c r="F14" s="36" t="s">
        <v>142</v>
      </c>
      <c r="G14" s="36" t="s">
        <v>10</v>
      </c>
      <c r="H14" s="84" t="s">
        <v>328</v>
      </c>
      <c r="I14" s="87">
        <v>130000000</v>
      </c>
      <c r="J14" s="87"/>
      <c r="K14" s="153">
        <f t="shared" si="0"/>
        <v>130000000</v>
      </c>
    </row>
    <row r="15" spans="1:12" ht="18" customHeight="1">
      <c r="A15" s="28" t="s">
        <v>6</v>
      </c>
      <c r="B15" s="35"/>
      <c r="C15" s="35" t="s">
        <v>7</v>
      </c>
      <c r="D15" s="42" t="s">
        <v>20</v>
      </c>
      <c r="F15" s="43" t="s">
        <v>143</v>
      </c>
      <c r="G15" s="43" t="s">
        <v>17</v>
      </c>
      <c r="H15" s="45" t="s">
        <v>144</v>
      </c>
      <c r="I15" s="63">
        <f>SUM(I12:I14)</f>
        <v>310000000</v>
      </c>
      <c r="J15" s="63">
        <f>SUM(J12:J14)</f>
        <v>0</v>
      </c>
      <c r="K15" s="63">
        <f t="shared" si="0"/>
        <v>310000000</v>
      </c>
    </row>
    <row r="16" spans="1:12" ht="18" customHeight="1">
      <c r="A16" s="28" t="s">
        <v>6</v>
      </c>
      <c r="B16" s="35"/>
      <c r="C16" s="35"/>
      <c r="D16" s="35"/>
      <c r="F16" s="46"/>
      <c r="G16" s="102"/>
      <c r="H16" s="103"/>
      <c r="I16" s="134"/>
      <c r="J16" s="159"/>
      <c r="K16" s="158"/>
    </row>
    <row r="17" spans="1:12" ht="18" customHeight="1">
      <c r="A17" s="28" t="s">
        <v>6</v>
      </c>
      <c r="B17" s="42" t="s">
        <v>30</v>
      </c>
      <c r="C17" s="42" t="s">
        <v>21</v>
      </c>
      <c r="D17" s="42" t="s">
        <v>271</v>
      </c>
      <c r="F17" s="90" t="s">
        <v>357</v>
      </c>
      <c r="G17" s="49" t="s">
        <v>49</v>
      </c>
      <c r="H17" s="50" t="s">
        <v>291</v>
      </c>
      <c r="I17" s="65">
        <v>65000000</v>
      </c>
      <c r="J17" s="65">
        <v>349000000</v>
      </c>
      <c r="K17" s="65">
        <f>SUM(I17:J17)</f>
        <v>414000000</v>
      </c>
    </row>
    <row r="18" spans="1:12" ht="18" customHeight="1">
      <c r="A18" s="28" t="s">
        <v>6</v>
      </c>
      <c r="B18" s="42"/>
      <c r="C18" s="42"/>
      <c r="D18" s="42"/>
      <c r="F18" s="167"/>
      <c r="G18" s="166"/>
      <c r="H18" s="166"/>
      <c r="I18" s="150"/>
      <c r="J18" s="150"/>
      <c r="K18" s="144"/>
    </row>
    <row r="19" spans="1:12" ht="18" customHeight="1">
      <c r="A19" s="28" t="s">
        <v>6</v>
      </c>
      <c r="B19" s="42" t="s">
        <v>30</v>
      </c>
      <c r="C19" s="42" t="s">
        <v>21</v>
      </c>
      <c r="D19" s="42" t="s">
        <v>271</v>
      </c>
      <c r="E19" s="76"/>
      <c r="F19" s="49" t="s">
        <v>361</v>
      </c>
      <c r="G19" s="49" t="s">
        <v>49</v>
      </c>
      <c r="H19" s="50" t="s">
        <v>157</v>
      </c>
      <c r="I19" s="65">
        <v>65000000</v>
      </c>
      <c r="J19" s="65">
        <v>349000000</v>
      </c>
      <c r="K19" s="65">
        <f>SUM(I19:J19)</f>
        <v>414000000</v>
      </c>
    </row>
    <row r="20" spans="1:12" ht="18" customHeight="1">
      <c r="A20" s="28" t="s">
        <v>6</v>
      </c>
      <c r="B20" s="42"/>
      <c r="C20" s="42"/>
      <c r="D20" s="42"/>
      <c r="F20" s="46"/>
      <c r="I20" s="135"/>
      <c r="J20" s="135"/>
      <c r="K20" s="145"/>
    </row>
    <row r="21" spans="1:12" ht="18" customHeight="1">
      <c r="A21" s="28" t="s">
        <v>6</v>
      </c>
      <c r="B21" s="42"/>
      <c r="C21" s="42" t="s">
        <v>7</v>
      </c>
      <c r="D21" s="42" t="s">
        <v>24</v>
      </c>
      <c r="F21" s="104" t="s">
        <v>324</v>
      </c>
      <c r="G21" s="104" t="s">
        <v>32</v>
      </c>
      <c r="H21" s="105" t="s">
        <v>145</v>
      </c>
      <c r="I21" s="109">
        <f>I10+I15+I17+I19</f>
        <v>725000000</v>
      </c>
      <c r="J21" s="109">
        <f>J10+J15+J17+J19</f>
        <v>698000000</v>
      </c>
      <c r="K21" s="109">
        <f>SUM(I21:J21)</f>
        <v>1423000000</v>
      </c>
    </row>
    <row r="22" spans="1:12" ht="18" customHeight="1">
      <c r="A22" s="28" t="s">
        <v>6</v>
      </c>
      <c r="B22" s="35"/>
      <c r="C22" s="35"/>
      <c r="D22" s="35"/>
      <c r="J22" s="29"/>
      <c r="K22" s="142"/>
    </row>
    <row r="23" spans="1:12" ht="18" customHeight="1">
      <c r="A23" s="28" t="s">
        <v>6</v>
      </c>
      <c r="B23" s="35" t="s">
        <v>13</v>
      </c>
      <c r="C23" s="35" t="s">
        <v>13</v>
      </c>
      <c r="D23" s="35" t="s">
        <v>14</v>
      </c>
      <c r="F23" s="47" t="s">
        <v>146</v>
      </c>
      <c r="G23" s="47" t="s">
        <v>10</v>
      </c>
      <c r="H23" s="82" t="s">
        <v>290</v>
      </c>
      <c r="I23" s="86">
        <v>85000000</v>
      </c>
      <c r="J23" s="86"/>
      <c r="K23" s="149">
        <f t="shared" si="0"/>
        <v>85000000</v>
      </c>
    </row>
    <row r="24" spans="1:12" ht="18" customHeight="1">
      <c r="A24" s="28" t="s">
        <v>6</v>
      </c>
      <c r="B24" s="35" t="s">
        <v>13</v>
      </c>
      <c r="C24" s="35" t="s">
        <v>13</v>
      </c>
      <c r="D24" s="35" t="s">
        <v>8</v>
      </c>
      <c r="F24" s="47" t="s">
        <v>147</v>
      </c>
      <c r="G24" s="47" t="s">
        <v>10</v>
      </c>
      <c r="H24" s="82" t="s">
        <v>148</v>
      </c>
      <c r="I24" s="86">
        <v>85000000</v>
      </c>
      <c r="J24" s="86"/>
      <c r="K24" s="149">
        <f t="shared" si="0"/>
        <v>85000000</v>
      </c>
    </row>
    <row r="25" spans="1:12" ht="18" customHeight="1">
      <c r="A25" s="28" t="s">
        <v>6</v>
      </c>
      <c r="B25" s="35" t="s">
        <v>13</v>
      </c>
      <c r="C25" s="35" t="s">
        <v>13</v>
      </c>
      <c r="D25" s="35" t="s">
        <v>14</v>
      </c>
      <c r="F25" s="47" t="s">
        <v>149</v>
      </c>
      <c r="G25" s="47" t="s">
        <v>10</v>
      </c>
      <c r="H25" s="89" t="s">
        <v>329</v>
      </c>
      <c r="I25" s="91">
        <v>45000000</v>
      </c>
      <c r="J25" s="91"/>
      <c r="K25" s="146">
        <f t="shared" si="0"/>
        <v>45000000</v>
      </c>
      <c r="L25" s="30" t="s">
        <v>362</v>
      </c>
    </row>
    <row r="26" spans="1:12" ht="18" customHeight="1">
      <c r="A26" s="28" t="s">
        <v>6</v>
      </c>
      <c r="B26" s="42"/>
      <c r="C26" s="35" t="s">
        <v>13</v>
      </c>
      <c r="D26" s="42" t="s">
        <v>20</v>
      </c>
      <c r="F26" s="90" t="s">
        <v>150</v>
      </c>
      <c r="G26" s="90" t="s">
        <v>17</v>
      </c>
      <c r="H26" s="50" t="s">
        <v>151</v>
      </c>
      <c r="I26" s="65">
        <f>SUM(I23:I25)</f>
        <v>215000000</v>
      </c>
      <c r="J26" s="65">
        <f>SUM(J23:J25)</f>
        <v>0</v>
      </c>
      <c r="K26" s="65">
        <f t="shared" si="0"/>
        <v>215000000</v>
      </c>
    </row>
    <row r="27" spans="1:12" ht="17.45" customHeight="1">
      <c r="A27" s="28" t="s">
        <v>6</v>
      </c>
      <c r="B27" s="42"/>
      <c r="C27" s="42"/>
      <c r="D27" s="35"/>
      <c r="F27" s="46"/>
      <c r="I27" s="135"/>
      <c r="J27" s="150"/>
      <c r="K27" s="144"/>
    </row>
    <row r="28" spans="1:12" ht="18" customHeight="1">
      <c r="A28" s="28" t="s">
        <v>6</v>
      </c>
      <c r="B28" s="42" t="s">
        <v>19</v>
      </c>
      <c r="C28" s="42" t="s">
        <v>19</v>
      </c>
      <c r="D28" s="35" t="s">
        <v>8</v>
      </c>
      <c r="F28" s="47" t="s">
        <v>299</v>
      </c>
      <c r="G28" s="47" t="s">
        <v>10</v>
      </c>
      <c r="H28" s="48" t="s">
        <v>152</v>
      </c>
      <c r="I28" s="64">
        <v>40000000</v>
      </c>
      <c r="J28" s="64"/>
      <c r="K28" s="148">
        <f t="shared" si="0"/>
        <v>40000000</v>
      </c>
    </row>
    <row r="29" spans="1:12" ht="18" customHeight="1">
      <c r="A29" s="28" t="s">
        <v>6</v>
      </c>
      <c r="B29" s="42" t="s">
        <v>19</v>
      </c>
      <c r="C29" s="42" t="s">
        <v>19</v>
      </c>
      <c r="D29" s="35" t="s">
        <v>8</v>
      </c>
      <c r="F29" s="47" t="s">
        <v>153</v>
      </c>
      <c r="G29" s="47" t="s">
        <v>10</v>
      </c>
      <c r="H29" s="48" t="s">
        <v>380</v>
      </c>
      <c r="I29" s="64">
        <v>20000000</v>
      </c>
      <c r="J29" s="64"/>
      <c r="K29" s="148">
        <f t="shared" si="0"/>
        <v>20000000</v>
      </c>
      <c r="L29" s="30" t="s">
        <v>375</v>
      </c>
    </row>
    <row r="30" spans="1:12" ht="18" customHeight="1">
      <c r="A30" s="28" t="s">
        <v>6</v>
      </c>
      <c r="B30" s="42"/>
      <c r="C30" s="42" t="s">
        <v>19</v>
      </c>
      <c r="D30" s="42" t="s">
        <v>20</v>
      </c>
      <c r="F30" s="49" t="s">
        <v>154</v>
      </c>
      <c r="G30" s="49" t="s">
        <v>17</v>
      </c>
      <c r="H30" s="50" t="s">
        <v>155</v>
      </c>
      <c r="I30" s="65">
        <f>SUM(I28:I29)</f>
        <v>60000000</v>
      </c>
      <c r="J30" s="65">
        <f>SUM(J28:J29)</f>
        <v>0</v>
      </c>
      <c r="K30" s="65">
        <f t="shared" si="0"/>
        <v>60000000</v>
      </c>
    </row>
    <row r="31" spans="1:12" ht="18" customHeight="1">
      <c r="A31" s="28" t="s">
        <v>6</v>
      </c>
      <c r="B31" s="42"/>
      <c r="C31" s="42"/>
      <c r="D31" s="42"/>
      <c r="F31" s="46"/>
      <c r="I31" s="135"/>
      <c r="J31" s="150"/>
      <c r="K31" s="144"/>
    </row>
    <row r="32" spans="1:12" ht="18" customHeight="1">
      <c r="A32" s="28" t="s">
        <v>6</v>
      </c>
      <c r="B32" s="42"/>
      <c r="C32" s="42" t="s">
        <v>13</v>
      </c>
      <c r="D32" s="42" t="s">
        <v>24</v>
      </c>
      <c r="F32" s="106" t="s">
        <v>325</v>
      </c>
      <c r="G32" s="106" t="s">
        <v>32</v>
      </c>
      <c r="H32" s="107" t="s">
        <v>156</v>
      </c>
      <c r="I32" s="110">
        <f>I26+I30</f>
        <v>275000000</v>
      </c>
      <c r="J32" s="110">
        <f>J26+J30</f>
        <v>0</v>
      </c>
      <c r="K32" s="110">
        <f t="shared" si="0"/>
        <v>275000000</v>
      </c>
    </row>
    <row r="33" spans="1:11" ht="18" customHeight="1">
      <c r="A33" s="28" t="s">
        <v>6</v>
      </c>
      <c r="B33" s="42"/>
      <c r="C33" s="42"/>
      <c r="D33" s="42"/>
      <c r="J33" s="29"/>
      <c r="K33" s="142"/>
    </row>
    <row r="34" spans="1:11" ht="24.95" customHeight="1">
      <c r="A34" s="28" t="s">
        <v>6</v>
      </c>
      <c r="B34" s="42"/>
      <c r="C34" s="42" t="s">
        <v>52</v>
      </c>
      <c r="D34" s="42" t="s">
        <v>31</v>
      </c>
      <c r="F34" s="51" t="s">
        <v>158</v>
      </c>
      <c r="G34" s="51" t="s">
        <v>52</v>
      </c>
      <c r="H34" s="52" t="s">
        <v>159</v>
      </c>
      <c r="I34" s="66">
        <f>I32+I21</f>
        <v>1000000000</v>
      </c>
      <c r="J34" s="66">
        <f>J32+J21</f>
        <v>698000000</v>
      </c>
      <c r="K34" s="66">
        <f t="shared" si="0"/>
        <v>1698000000</v>
      </c>
    </row>
    <row r="37" spans="1:11" s="27" customFormat="1" ht="18" customHeight="1">
      <c r="A37" s="2"/>
      <c r="B37" s="73"/>
      <c r="C37" s="73"/>
      <c r="D37" s="73"/>
      <c r="E37" s="28"/>
      <c r="F37" s="53" t="s">
        <v>54</v>
      </c>
      <c r="G37" s="229" t="s">
        <v>55</v>
      </c>
      <c r="H37" s="229"/>
      <c r="I37" s="67" t="s">
        <v>5</v>
      </c>
      <c r="J37" s="137"/>
      <c r="K37" s="137"/>
    </row>
    <row r="38" spans="1:11" ht="18" customHeight="1">
      <c r="A38" s="4"/>
      <c r="B38" s="73"/>
      <c r="C38" s="73"/>
      <c r="D38" s="73"/>
      <c r="F38" s="54" t="s">
        <v>7</v>
      </c>
      <c r="G38" s="230">
        <f>COUNTIF($B$7:$B$34,"UTM")</f>
        <v>6</v>
      </c>
      <c r="H38" s="230"/>
      <c r="I38" s="67">
        <f t="shared" ref="I38:I46" si="1">SUMIFS($K$7:$K$34,$B$7:$B$34,F38)</f>
        <v>595000000</v>
      </c>
      <c r="J38" s="137"/>
      <c r="K38" s="137"/>
    </row>
    <row r="39" spans="1:11" ht="18" customHeight="1">
      <c r="A39" s="4"/>
      <c r="B39" s="73"/>
      <c r="C39" s="73"/>
      <c r="D39" s="73"/>
      <c r="F39" s="54" t="s">
        <v>13</v>
      </c>
      <c r="G39" s="230">
        <f>COUNTIF($B$7:$B$34,"SPM")</f>
        <v>3</v>
      </c>
      <c r="H39" s="230"/>
      <c r="I39" s="67">
        <f t="shared" si="1"/>
        <v>215000000</v>
      </c>
      <c r="J39" s="137"/>
      <c r="K39" s="137"/>
    </row>
    <row r="40" spans="1:11" ht="18" customHeight="1">
      <c r="A40" s="4"/>
      <c r="B40" s="73"/>
      <c r="C40" s="73"/>
      <c r="D40" s="73"/>
      <c r="F40" s="54" t="s">
        <v>19</v>
      </c>
      <c r="G40" s="230">
        <f>COUNTIF($B$7:$B$34,"PMT")</f>
        <v>2</v>
      </c>
      <c r="H40" s="230"/>
      <c r="I40" s="67">
        <f t="shared" si="1"/>
        <v>60000000</v>
      </c>
      <c r="J40" s="137"/>
      <c r="K40" s="137"/>
    </row>
    <row r="41" spans="1:11" ht="18" customHeight="1">
      <c r="A41" s="4"/>
      <c r="B41" s="73"/>
      <c r="C41" s="73"/>
      <c r="D41" s="73"/>
      <c r="F41" s="54" t="s">
        <v>21</v>
      </c>
      <c r="G41" s="230">
        <f>COUNTIF($B$7:$B$34,"PRM")</f>
        <v>0</v>
      </c>
      <c r="H41" s="230"/>
      <c r="I41" s="67">
        <f>I17+I19</f>
        <v>130000000</v>
      </c>
      <c r="J41" s="137"/>
      <c r="K41" s="137"/>
    </row>
    <row r="42" spans="1:11" ht="18" customHeight="1">
      <c r="A42" s="4"/>
      <c r="B42" s="73"/>
      <c r="C42" s="73"/>
      <c r="D42" s="73"/>
      <c r="F42" s="54" t="s">
        <v>26</v>
      </c>
      <c r="G42" s="230">
        <f>COUNTIF($B$7:$B$34,"COMBO UTM-SPM")</f>
        <v>0</v>
      </c>
      <c r="H42" s="230"/>
      <c r="I42" s="67">
        <f t="shared" si="1"/>
        <v>0</v>
      </c>
      <c r="J42" s="137"/>
      <c r="K42" s="137"/>
    </row>
    <row r="43" spans="1:11" ht="18" customHeight="1">
      <c r="A43" s="4"/>
      <c r="B43" s="73"/>
      <c r="C43" s="73"/>
      <c r="D43" s="73"/>
      <c r="F43" s="54" t="s">
        <v>27</v>
      </c>
      <c r="G43" s="230">
        <f>COUNTIF($B$7:$B$34,"COMBO UTM-SPM-PMT")</f>
        <v>0</v>
      </c>
      <c r="H43" s="230"/>
      <c r="I43" s="67">
        <f t="shared" si="1"/>
        <v>0</v>
      </c>
      <c r="J43" s="137"/>
      <c r="K43" s="137"/>
    </row>
    <row r="44" spans="1:11" ht="18" customHeight="1">
      <c r="A44" s="4"/>
      <c r="B44" s="73"/>
      <c r="C44" s="73"/>
      <c r="D44" s="73"/>
      <c r="F44" s="54" t="s">
        <v>29</v>
      </c>
      <c r="G44" s="230">
        <f>COUNTIF($B$7:$B$34,"COMBO UTM-SPM-PRM-PNC")</f>
        <v>0</v>
      </c>
      <c r="H44" s="230"/>
      <c r="I44" s="67">
        <f t="shared" si="1"/>
        <v>0</v>
      </c>
      <c r="J44" s="137"/>
      <c r="K44" s="137"/>
    </row>
    <row r="45" spans="1:11" ht="18" customHeight="1">
      <c r="A45" s="4"/>
      <c r="B45" s="73"/>
      <c r="C45" s="73"/>
      <c r="D45" s="73"/>
      <c r="F45" s="54" t="s">
        <v>30</v>
      </c>
      <c r="G45" s="230">
        <f>COUNTIF($B$7:$B$34,"COMBO PRM-PNC")</f>
        <v>2</v>
      </c>
      <c r="H45" s="230"/>
      <c r="I45" s="67">
        <v>0</v>
      </c>
      <c r="J45" s="137"/>
      <c r="K45" s="137"/>
    </row>
    <row r="46" spans="1:11" ht="18" customHeight="1">
      <c r="A46" s="4"/>
      <c r="B46" s="73"/>
      <c r="C46" s="73"/>
      <c r="D46" s="73"/>
      <c r="F46" s="54" t="s">
        <v>33</v>
      </c>
      <c r="G46" s="230">
        <f>COUNTIF($B$7:$B$34,"COMBO ALL DIV")</f>
        <v>0</v>
      </c>
      <c r="H46" s="230"/>
      <c r="I46" s="67">
        <f t="shared" si="1"/>
        <v>0</v>
      </c>
      <c r="J46" s="137"/>
      <c r="K46" s="137"/>
    </row>
    <row r="47" spans="1:11" ht="18" customHeight="1">
      <c r="A47" s="4"/>
      <c r="B47" s="73"/>
      <c r="C47" s="73"/>
      <c r="D47" s="73"/>
      <c r="F47" s="54" t="s">
        <v>23</v>
      </c>
      <c r="G47" s="230">
        <f>COUNTIF($B$7:$B$34,"PNC")</f>
        <v>0</v>
      </c>
      <c r="H47" s="230"/>
      <c r="I47" s="67">
        <f>J17+J19</f>
        <v>698000000</v>
      </c>
      <c r="J47" s="137"/>
      <c r="K47" s="137"/>
    </row>
    <row r="48" spans="1:11" ht="18" customHeight="1">
      <c r="A48" s="4"/>
      <c r="B48" s="73"/>
      <c r="C48" s="73"/>
      <c r="D48" s="73"/>
      <c r="F48" s="53" t="s">
        <v>56</v>
      </c>
      <c r="G48" s="231">
        <f>SUM(G38:H47)</f>
        <v>13</v>
      </c>
      <c r="H48" s="231"/>
      <c r="I48" s="67">
        <f>SUM(I38:I47)</f>
        <v>1698000000</v>
      </c>
      <c r="J48" s="137"/>
      <c r="K48" s="137"/>
    </row>
    <row r="49" spans="1:11" ht="18" customHeight="1">
      <c r="B49" s="73"/>
      <c r="C49" s="73"/>
      <c r="D49" s="73"/>
    </row>
    <row r="50" spans="1:11" s="27" customFormat="1" ht="18" customHeight="1">
      <c r="A50" s="2"/>
      <c r="B50" s="73"/>
      <c r="C50" s="73"/>
      <c r="D50" s="73"/>
      <c r="E50" s="28"/>
      <c r="F50" s="53" t="s">
        <v>3</v>
      </c>
      <c r="G50" s="56" t="s">
        <v>56</v>
      </c>
      <c r="H50" s="56" t="s">
        <v>57</v>
      </c>
      <c r="I50" s="68" t="s">
        <v>58</v>
      </c>
      <c r="J50" s="151"/>
      <c r="K50" s="151"/>
    </row>
    <row r="51" spans="1:11" ht="18" customHeight="1">
      <c r="A51" s="4"/>
      <c r="B51" s="73"/>
      <c r="C51" s="73"/>
      <c r="D51" s="73"/>
      <c r="F51" s="54" t="s">
        <v>10</v>
      </c>
      <c r="G51" s="55">
        <f>COUNTIF($G$7:$G$34,"PS")</f>
        <v>11</v>
      </c>
      <c r="H51" s="57">
        <f>COUNTIF($D$7:$D$34,"PS TERISI")</f>
        <v>8</v>
      </c>
      <c r="I51" s="69">
        <f t="shared" ref="I51:I56" si="2">G51-H51</f>
        <v>3</v>
      </c>
      <c r="J51" s="152"/>
      <c r="K51" s="151"/>
    </row>
    <row r="52" spans="1:11" ht="18" customHeight="1">
      <c r="A52" s="4"/>
      <c r="B52" s="73"/>
      <c r="C52" s="73"/>
      <c r="D52" s="73"/>
      <c r="F52" s="54" t="s">
        <v>100</v>
      </c>
      <c r="G52" s="55">
        <f>COUNTIF($G$7:$G$34,"AE")</f>
        <v>0</v>
      </c>
      <c r="H52" s="57">
        <f>COUNTIF($D$7:$D$34,"AE TERISI")</f>
        <v>0</v>
      </c>
      <c r="I52" s="69">
        <f t="shared" si="2"/>
        <v>0</v>
      </c>
      <c r="J52" s="152"/>
      <c r="K52" s="151"/>
    </row>
    <row r="53" spans="1:11" ht="18" customHeight="1">
      <c r="A53" s="4"/>
      <c r="B53" s="73"/>
      <c r="C53" s="73"/>
      <c r="D53" s="73"/>
      <c r="F53" s="54" t="s">
        <v>49</v>
      </c>
      <c r="G53" s="55">
        <f>COUNTIF($G$7:$G$34,"AM")</f>
        <v>2</v>
      </c>
      <c r="H53" s="57">
        <f>COUNTIF($D$7:$D$34,"AM TERISI")</f>
        <v>2</v>
      </c>
      <c r="I53" s="69">
        <f t="shared" si="2"/>
        <v>0</v>
      </c>
      <c r="J53" s="152"/>
      <c r="K53" s="151"/>
    </row>
    <row r="54" spans="1:11" ht="18" customHeight="1">
      <c r="A54" s="4"/>
      <c r="B54" s="73"/>
      <c r="C54" s="73"/>
      <c r="D54" s="73"/>
      <c r="F54" s="54" t="s">
        <v>17</v>
      </c>
      <c r="G54" s="55">
        <f>COUNTIF($G$7:$G$34,"DM")</f>
        <v>4</v>
      </c>
      <c r="H54" s="57">
        <f>COUNTIF($D$7:$D$34,"DM TERISI")</f>
        <v>4</v>
      </c>
      <c r="I54" s="69">
        <f t="shared" si="2"/>
        <v>0</v>
      </c>
      <c r="J54" s="152"/>
      <c r="K54" s="151"/>
    </row>
    <row r="55" spans="1:11" ht="18" customHeight="1">
      <c r="A55" s="4"/>
      <c r="B55" s="73"/>
      <c r="C55" s="73"/>
      <c r="D55" s="73"/>
      <c r="F55" s="54" t="s">
        <v>32</v>
      </c>
      <c r="G55" s="55">
        <f>COUNTIF($G$7:$G$34,"RSM")</f>
        <v>2</v>
      </c>
      <c r="H55" s="57">
        <f>COUNTIF($D$7:$D$34,"RSM TERISI")</f>
        <v>2</v>
      </c>
      <c r="I55" s="69">
        <f t="shared" si="2"/>
        <v>0</v>
      </c>
      <c r="J55" s="152"/>
      <c r="K55" s="151"/>
    </row>
    <row r="56" spans="1:11" ht="18" customHeight="1">
      <c r="A56" s="4"/>
      <c r="B56" s="73"/>
      <c r="C56" s="73"/>
      <c r="D56" s="73"/>
      <c r="F56" s="54" t="s">
        <v>52</v>
      </c>
      <c r="G56" s="55">
        <f>COUNTIF($G$7:$G$34,"BCO")</f>
        <v>1</v>
      </c>
      <c r="H56" s="57">
        <f>COUNTIF($D$7:$D$34,"BCO TERISI")</f>
        <v>1</v>
      </c>
      <c r="I56" s="69">
        <f t="shared" si="2"/>
        <v>0</v>
      </c>
      <c r="J56" s="152"/>
      <c r="K56" s="151"/>
    </row>
    <row r="57" spans="1:11" ht="18" customHeight="1">
      <c r="A57" s="4"/>
      <c r="B57" s="73"/>
      <c r="C57" s="73"/>
      <c r="D57" s="73"/>
      <c r="F57" s="53" t="s">
        <v>56</v>
      </c>
      <c r="G57" s="56">
        <f>SUM(G51:G56)</f>
        <v>20</v>
      </c>
      <c r="H57" s="56">
        <f>SUM(H51:H56)</f>
        <v>17</v>
      </c>
      <c r="I57" s="68">
        <f>SUM(I51:I56)</f>
        <v>3</v>
      </c>
      <c r="J57" s="151"/>
      <c r="K57" s="151"/>
    </row>
    <row r="58" spans="1:11" ht="18" customHeight="1">
      <c r="A58" s="4"/>
      <c r="B58" s="4"/>
      <c r="C58" s="4"/>
      <c r="D58" s="4"/>
      <c r="H58" s="58">
        <f>H57/G57</f>
        <v>0.85</v>
      </c>
      <c r="I58" s="70">
        <f>I57/G57</f>
        <v>0.15</v>
      </c>
      <c r="J58" s="151"/>
      <c r="K58" s="151"/>
    </row>
  </sheetData>
  <mergeCells count="23">
    <mergeCell ref="J4:J5"/>
    <mergeCell ref="K4:K5"/>
    <mergeCell ref="B4:B5"/>
    <mergeCell ref="D4:D5"/>
    <mergeCell ref="F4:F5"/>
    <mergeCell ref="G4:G5"/>
    <mergeCell ref="C4:C5"/>
    <mergeCell ref="F2:K2"/>
    <mergeCell ref="F1:K1"/>
    <mergeCell ref="G48:H48"/>
    <mergeCell ref="G39:H39"/>
    <mergeCell ref="G40:H40"/>
    <mergeCell ref="G41:H41"/>
    <mergeCell ref="G42:H42"/>
    <mergeCell ref="G47:H47"/>
    <mergeCell ref="G43:H43"/>
    <mergeCell ref="G44:H44"/>
    <mergeCell ref="G45:H45"/>
    <mergeCell ref="G46:H46"/>
    <mergeCell ref="G38:H38"/>
    <mergeCell ref="H4:H5"/>
    <mergeCell ref="G37:H37"/>
    <mergeCell ref="I4:I5"/>
  </mergeCells>
  <conditionalFormatting sqref="D4">
    <cfRule type="duplicateValues" dxfId="35" priority="2"/>
  </conditionalFormatting>
  <conditionalFormatting sqref="F4">
    <cfRule type="duplicateValues" dxfId="34" priority="5"/>
  </conditionalFormatting>
  <conditionalFormatting sqref="F7:F34">
    <cfRule type="duplicateValues" dxfId="33" priority="1"/>
  </conditionalFormatting>
  <conditionalFormatting sqref="F34">
    <cfRule type="duplicateValues" dxfId="32" priority="6"/>
  </conditionalFormatting>
  <conditionalFormatting sqref="F38:F47">
    <cfRule type="duplicateValues" dxfId="31" priority="3"/>
  </conditionalFormatting>
  <printOptions horizontalCentered="1"/>
  <pageMargins left="0.196850393700787" right="0.23622047244094499" top="0.43307086614173201" bottom="0.39370078740157499" header="0.31496062992126" footer="0.31496062992126"/>
  <pageSetup paperSize="9" scale="72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NAD!$B$5:$B$13</xm:f>
          </x14:formula1>
          <xm:sqref>B7:B34</xm:sqref>
        </x14:dataValidation>
        <x14:dataValidation type="list" allowBlank="1" showInputMessage="1" showErrorMessage="1" xr:uid="{00000000-0002-0000-0400-000001000000}">
          <x14:formula1>
            <xm:f>NAD!$D$5:$D$16</xm:f>
          </x14:formula1>
          <xm:sqref>D7:D34</xm:sqref>
        </x14:dataValidation>
        <x14:dataValidation type="list" allowBlank="1" showInputMessage="1" showErrorMessage="1" xr:uid="{01970929-EC28-495F-9E80-3CE9FF86B929}">
          <x14:formula1>
            <xm:f>NAD!$C$5:$C$10</xm:f>
          </x14:formula1>
          <xm:sqref>C7:C34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L58"/>
  <sheetViews>
    <sheetView showGridLines="0" zoomScale="70" zoomScaleNormal="70" workbookViewId="0">
      <pane xSplit="1" ySplit="6" topLeftCell="B10" activePane="bottomRight" state="frozen"/>
      <selection pane="topRight" activeCell="B1" sqref="B1"/>
      <selection pane="bottomLeft" activeCell="A7" sqref="A7"/>
      <selection pane="bottomRight" activeCell="F1" sqref="F1:K19"/>
    </sheetView>
  </sheetViews>
  <sheetFormatPr defaultColWidth="3.5703125" defaultRowHeight="18" customHeight="1"/>
  <cols>
    <col min="1" max="1" width="2.5703125" style="28" customWidth="1"/>
    <col min="2" max="2" width="20.5703125" style="33" customWidth="1"/>
    <col min="3" max="4" width="11.5703125" style="33" customWidth="1"/>
    <col min="5" max="5" width="2.5703125" style="28" customWidth="1"/>
    <col min="6" max="6" width="35.5703125" style="28" customWidth="1"/>
    <col min="7" max="7" width="10.5703125" style="28" customWidth="1"/>
    <col min="8" max="8" width="35.5703125" style="28" customWidth="1"/>
    <col min="9" max="9" width="22.140625" style="29" bestFit="1" customWidth="1"/>
    <col min="10" max="10" width="22.140625" style="136" bestFit="1" customWidth="1"/>
    <col min="11" max="11" width="22.140625" style="157" bestFit="1" customWidth="1"/>
    <col min="12" max="12" width="11.140625" style="30" customWidth="1"/>
    <col min="13" max="16384" width="3.5703125" style="30"/>
  </cols>
  <sheetData>
    <row r="1" spans="1:11" ht="24.95" customHeight="1">
      <c r="F1" s="224" t="s">
        <v>365</v>
      </c>
      <c r="G1" s="224"/>
      <c r="H1" s="224"/>
      <c r="I1" s="224"/>
      <c r="J1" s="224"/>
      <c r="K1" s="224"/>
    </row>
    <row r="2" spans="1:11" ht="24.95" customHeight="1">
      <c r="B2" s="73"/>
      <c r="C2" s="73"/>
      <c r="D2" s="73"/>
      <c r="F2" s="224" t="s">
        <v>171</v>
      </c>
      <c r="G2" s="224"/>
      <c r="H2" s="224"/>
      <c r="I2" s="224"/>
      <c r="J2" s="224"/>
      <c r="K2" s="224"/>
    </row>
    <row r="3" spans="1:11" ht="18" customHeight="1">
      <c r="B3" s="127"/>
      <c r="C3" s="127"/>
      <c r="D3" s="127"/>
      <c r="F3" s="31"/>
      <c r="G3" s="31"/>
      <c r="H3" s="32"/>
      <c r="I3" s="59"/>
      <c r="J3" s="59"/>
      <c r="K3" s="141"/>
    </row>
    <row r="4" spans="1:11" ht="20.100000000000001" customHeight="1">
      <c r="B4" s="220" t="s">
        <v>0</v>
      </c>
      <c r="C4" s="220" t="s">
        <v>296</v>
      </c>
      <c r="D4" s="220" t="s">
        <v>1</v>
      </c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1" ht="20.100000000000001" customHeight="1">
      <c r="B5" s="221"/>
      <c r="C5" s="221"/>
      <c r="D5" s="221"/>
      <c r="F5" s="223"/>
      <c r="G5" s="223"/>
      <c r="H5" s="223"/>
      <c r="I5" s="226"/>
      <c r="J5" s="228"/>
      <c r="K5" s="228"/>
    </row>
    <row r="6" spans="1:11" ht="9.9499999999999993" customHeight="1">
      <c r="A6" s="28" t="s">
        <v>6</v>
      </c>
      <c r="H6" s="34"/>
      <c r="J6" s="29"/>
      <c r="K6" s="142"/>
    </row>
    <row r="7" spans="1:11" ht="18" customHeight="1">
      <c r="A7" s="28" t="s">
        <v>6</v>
      </c>
      <c r="B7" s="35" t="s">
        <v>7</v>
      </c>
      <c r="C7" s="35" t="s">
        <v>7</v>
      </c>
      <c r="D7" s="35" t="s">
        <v>8</v>
      </c>
      <c r="F7" s="36" t="s">
        <v>160</v>
      </c>
      <c r="G7" s="36" t="s">
        <v>10</v>
      </c>
      <c r="H7" s="84" t="s">
        <v>330</v>
      </c>
      <c r="I7" s="60">
        <v>40000000</v>
      </c>
      <c r="J7" s="60"/>
      <c r="K7" s="143">
        <f>SUM(I7:J7)</f>
        <v>40000000</v>
      </c>
    </row>
    <row r="8" spans="1:11" ht="18" customHeight="1">
      <c r="A8" s="28" t="s">
        <v>6</v>
      </c>
      <c r="B8" s="35" t="s">
        <v>7</v>
      </c>
      <c r="C8" s="35" t="s">
        <v>7</v>
      </c>
      <c r="D8" s="35" t="s">
        <v>8</v>
      </c>
      <c r="F8" s="38" t="s">
        <v>161</v>
      </c>
      <c r="G8" s="38" t="s">
        <v>10</v>
      </c>
      <c r="H8" s="84" t="s">
        <v>162</v>
      </c>
      <c r="I8" s="87">
        <v>90000000</v>
      </c>
      <c r="J8" s="87"/>
      <c r="K8" s="153">
        <f t="shared" ref="K8:K19" si="0">SUM(I8:J8)</f>
        <v>90000000</v>
      </c>
    </row>
    <row r="9" spans="1:11" ht="18" customHeight="1">
      <c r="A9" s="28" t="s">
        <v>6</v>
      </c>
      <c r="B9" s="42" t="s">
        <v>33</v>
      </c>
      <c r="C9" s="35" t="s">
        <v>7</v>
      </c>
      <c r="D9" s="35" t="s">
        <v>8</v>
      </c>
      <c r="F9" s="93" t="s">
        <v>164</v>
      </c>
      <c r="G9" s="47" t="s">
        <v>10</v>
      </c>
      <c r="H9" s="89" t="s">
        <v>165</v>
      </c>
      <c r="I9" s="91">
        <v>65000000</v>
      </c>
      <c r="J9" s="91"/>
      <c r="K9" s="146">
        <f t="shared" si="0"/>
        <v>65000000</v>
      </c>
    </row>
    <row r="10" spans="1:11" ht="18" customHeight="1">
      <c r="A10" s="28" t="s">
        <v>6</v>
      </c>
      <c r="B10" s="35"/>
      <c r="C10" s="35" t="s">
        <v>7</v>
      </c>
      <c r="D10" s="35" t="s">
        <v>15</v>
      </c>
      <c r="F10" s="43" t="s">
        <v>166</v>
      </c>
      <c r="G10" s="44" t="s">
        <v>17</v>
      </c>
      <c r="H10" s="45" t="s">
        <v>167</v>
      </c>
      <c r="I10" s="63">
        <f>SUM(I7:I9)</f>
        <v>195000000</v>
      </c>
      <c r="J10" s="63">
        <f>SUM(J7:J9)</f>
        <v>0</v>
      </c>
      <c r="K10" s="63">
        <f t="shared" si="0"/>
        <v>195000000</v>
      </c>
    </row>
    <row r="11" spans="1:11" ht="18" customHeight="1">
      <c r="A11" s="28" t="s">
        <v>6</v>
      </c>
      <c r="B11" s="35"/>
      <c r="C11" s="35"/>
      <c r="D11" s="35"/>
      <c r="F11" s="46"/>
      <c r="I11" s="135"/>
      <c r="J11" s="150"/>
      <c r="K11" s="144"/>
    </row>
    <row r="12" spans="1:11" ht="18" customHeight="1">
      <c r="A12" s="28" t="s">
        <v>6</v>
      </c>
      <c r="B12" s="35" t="s">
        <v>13</v>
      </c>
      <c r="C12" s="35" t="s">
        <v>13</v>
      </c>
      <c r="D12" s="35" t="s">
        <v>8</v>
      </c>
      <c r="F12" s="47" t="s">
        <v>163</v>
      </c>
      <c r="G12" s="47" t="s">
        <v>10</v>
      </c>
      <c r="H12" s="48" t="s">
        <v>341</v>
      </c>
      <c r="I12" s="64">
        <v>60000000</v>
      </c>
      <c r="J12" s="64"/>
      <c r="K12" s="148">
        <f>SUM(I12:J12)</f>
        <v>60000000</v>
      </c>
    </row>
    <row r="13" spans="1:11" ht="18" customHeight="1">
      <c r="A13" s="28" t="s">
        <v>6</v>
      </c>
      <c r="B13" s="35" t="s">
        <v>19</v>
      </c>
      <c r="C13" s="35" t="s">
        <v>19</v>
      </c>
      <c r="D13" s="35" t="s">
        <v>14</v>
      </c>
      <c r="F13" s="47" t="s">
        <v>300</v>
      </c>
      <c r="G13" s="47" t="s">
        <v>10</v>
      </c>
      <c r="H13" s="48" t="s">
        <v>168</v>
      </c>
      <c r="I13" s="64">
        <v>25000000</v>
      </c>
      <c r="J13" s="64"/>
      <c r="K13" s="148">
        <f t="shared" si="0"/>
        <v>25000000</v>
      </c>
    </row>
    <row r="14" spans="1:11" ht="18" customHeight="1">
      <c r="A14" s="28" t="s">
        <v>6</v>
      </c>
      <c r="B14" s="35" t="s">
        <v>33</v>
      </c>
      <c r="C14" s="35" t="s">
        <v>13</v>
      </c>
      <c r="D14" s="35" t="s">
        <v>14</v>
      </c>
      <c r="F14" s="93" t="s">
        <v>169</v>
      </c>
      <c r="G14" s="81" t="s">
        <v>10</v>
      </c>
      <c r="H14" s="82" t="s">
        <v>38</v>
      </c>
      <c r="I14" s="86">
        <v>45000000</v>
      </c>
      <c r="J14" s="86"/>
      <c r="K14" s="149">
        <f t="shared" si="0"/>
        <v>45000000</v>
      </c>
    </row>
    <row r="15" spans="1:11" ht="18" customHeight="1">
      <c r="A15" s="28" t="s">
        <v>6</v>
      </c>
      <c r="B15" s="35"/>
      <c r="C15" s="35" t="s">
        <v>13</v>
      </c>
      <c r="D15" s="35" t="s">
        <v>15</v>
      </c>
      <c r="F15" s="43" t="s">
        <v>170</v>
      </c>
      <c r="G15" s="44" t="s">
        <v>17</v>
      </c>
      <c r="H15" s="45" t="s">
        <v>18</v>
      </c>
      <c r="I15" s="63">
        <f>SUM(I12:I14)</f>
        <v>130000000</v>
      </c>
      <c r="J15" s="63">
        <f>SUM(J12:J14)</f>
        <v>0</v>
      </c>
      <c r="K15" s="63">
        <f t="shared" si="0"/>
        <v>130000000</v>
      </c>
    </row>
    <row r="16" spans="1:11" ht="18" customHeight="1">
      <c r="A16" s="28" t="s">
        <v>6</v>
      </c>
      <c r="B16" s="42"/>
      <c r="C16" s="42"/>
      <c r="D16" s="42"/>
      <c r="F16" s="46"/>
      <c r="I16" s="135"/>
      <c r="J16" s="150"/>
      <c r="K16" s="144"/>
    </row>
    <row r="17" spans="1:12" ht="18" customHeight="1">
      <c r="A17" s="28" t="s">
        <v>6</v>
      </c>
      <c r="B17" s="35" t="s">
        <v>30</v>
      </c>
      <c r="C17" s="35" t="s">
        <v>21</v>
      </c>
      <c r="D17" s="35" t="s">
        <v>272</v>
      </c>
      <c r="F17" s="90" t="s">
        <v>274</v>
      </c>
      <c r="G17" s="49" t="s">
        <v>49</v>
      </c>
      <c r="H17" s="50" t="s">
        <v>367</v>
      </c>
      <c r="I17" s="65">
        <v>100000000</v>
      </c>
      <c r="J17" s="65">
        <v>349000000</v>
      </c>
      <c r="K17" s="65">
        <f t="shared" si="0"/>
        <v>449000000</v>
      </c>
      <c r="L17" s="30" t="s">
        <v>362</v>
      </c>
    </row>
    <row r="18" spans="1:12" ht="18" customHeight="1">
      <c r="A18" s="28" t="s">
        <v>6</v>
      </c>
      <c r="B18" s="35"/>
      <c r="C18" s="35"/>
      <c r="D18" s="35"/>
      <c r="F18" s="46"/>
      <c r="I18" s="135"/>
      <c r="J18" s="150"/>
      <c r="K18" s="144"/>
    </row>
    <row r="19" spans="1:12" ht="24.95" customHeight="1">
      <c r="A19" s="28" t="s">
        <v>6</v>
      </c>
      <c r="B19" s="35"/>
      <c r="C19" s="35" t="s">
        <v>52</v>
      </c>
      <c r="D19" s="35" t="s">
        <v>31</v>
      </c>
      <c r="F19" s="51" t="s">
        <v>171</v>
      </c>
      <c r="G19" s="51" t="s">
        <v>59</v>
      </c>
      <c r="H19" s="52" t="s">
        <v>172</v>
      </c>
      <c r="I19" s="66">
        <f>I10+I15+I17</f>
        <v>425000000</v>
      </c>
      <c r="J19" s="66">
        <f>J10+J15+J17</f>
        <v>349000000</v>
      </c>
      <c r="K19" s="66">
        <f t="shared" si="0"/>
        <v>774000000</v>
      </c>
    </row>
    <row r="20" spans="1:12" ht="18" customHeight="1">
      <c r="B20" s="75"/>
      <c r="C20" s="75"/>
      <c r="D20" s="75"/>
    </row>
    <row r="21" spans="1:12" ht="18" customHeight="1">
      <c r="B21" s="75"/>
      <c r="C21" s="75"/>
      <c r="D21" s="75"/>
    </row>
    <row r="22" spans="1:12" ht="18" customHeight="1">
      <c r="B22" s="75"/>
      <c r="C22" s="75"/>
      <c r="D22" s="75"/>
    </row>
    <row r="23" spans="1:12" ht="18" customHeight="1">
      <c r="B23" s="75"/>
      <c r="C23" s="75"/>
      <c r="D23" s="75"/>
    </row>
    <row r="24" spans="1:12" ht="18" customHeight="1">
      <c r="B24" s="75"/>
      <c r="C24" s="75"/>
      <c r="D24" s="75"/>
    </row>
    <row r="25" spans="1:12" ht="18" customHeight="1">
      <c r="B25" s="75"/>
      <c r="C25" s="75"/>
      <c r="D25" s="75"/>
    </row>
    <row r="26" spans="1:12" ht="18" customHeight="1">
      <c r="B26" s="75"/>
      <c r="C26" s="75"/>
      <c r="D26" s="75"/>
    </row>
    <row r="27" spans="1:12" ht="18" customHeight="1">
      <c r="B27" s="75"/>
      <c r="C27" s="75"/>
      <c r="D27" s="75"/>
    </row>
    <row r="28" spans="1:12" ht="18" customHeight="1">
      <c r="B28" s="75"/>
      <c r="C28" s="75"/>
      <c r="D28" s="75"/>
    </row>
    <row r="29" spans="1:12" ht="18" customHeight="1">
      <c r="B29" s="75"/>
      <c r="C29" s="75"/>
      <c r="D29" s="75"/>
    </row>
    <row r="30" spans="1:12" ht="18" customHeight="1">
      <c r="B30" s="75"/>
      <c r="C30" s="75"/>
      <c r="D30" s="75"/>
    </row>
    <row r="31" spans="1:12" ht="18" customHeight="1">
      <c r="B31" s="75"/>
      <c r="C31" s="75"/>
      <c r="D31" s="75"/>
    </row>
    <row r="32" spans="1:12" ht="18" customHeight="1">
      <c r="B32" s="75"/>
      <c r="C32" s="75"/>
      <c r="D32" s="75"/>
    </row>
    <row r="33" spans="1:11" ht="18" customHeight="1">
      <c r="B33" s="75"/>
      <c r="C33" s="75"/>
      <c r="D33" s="75"/>
    </row>
    <row r="34" spans="1:11" ht="18" customHeight="1">
      <c r="B34" s="75"/>
      <c r="C34" s="75"/>
      <c r="D34" s="75"/>
    </row>
    <row r="35" spans="1:11" ht="18" customHeight="1">
      <c r="B35" s="75"/>
      <c r="C35" s="75"/>
      <c r="D35" s="75"/>
    </row>
    <row r="36" spans="1:11" ht="18" customHeight="1">
      <c r="B36" s="75"/>
      <c r="C36" s="75"/>
      <c r="D36" s="75"/>
    </row>
    <row r="37" spans="1:11" s="27" customFormat="1" ht="18" customHeight="1">
      <c r="A37" s="2"/>
      <c r="B37" s="73"/>
      <c r="C37" s="73"/>
      <c r="D37" s="73"/>
      <c r="E37" s="28"/>
      <c r="F37" s="53" t="s">
        <v>54</v>
      </c>
      <c r="G37" s="229" t="s">
        <v>55</v>
      </c>
      <c r="H37" s="229"/>
      <c r="I37" s="67" t="s">
        <v>5</v>
      </c>
      <c r="J37" s="137"/>
      <c r="K37" s="137"/>
    </row>
    <row r="38" spans="1:11" ht="18" customHeight="1">
      <c r="A38" s="4"/>
      <c r="B38" s="73"/>
      <c r="C38" s="73"/>
      <c r="D38" s="73"/>
      <c r="F38" s="54" t="s">
        <v>7</v>
      </c>
      <c r="G38" s="230">
        <f>COUNTIF($B$7:$B$19,"UTM")</f>
        <v>2</v>
      </c>
      <c r="H38" s="230"/>
      <c r="I38" s="67">
        <f>SUMIFS($K$7:$K$19,$B$7:$B$19,F38)</f>
        <v>130000000</v>
      </c>
      <c r="J38" s="137"/>
      <c r="K38" s="137"/>
    </row>
    <row r="39" spans="1:11" ht="18" customHeight="1">
      <c r="A39" s="4"/>
      <c r="B39" s="73"/>
      <c r="C39" s="73"/>
      <c r="D39" s="73"/>
      <c r="F39" s="54" t="s">
        <v>13</v>
      </c>
      <c r="G39" s="230">
        <f>COUNTIF($B$7:$B$19,"SPM")</f>
        <v>1</v>
      </c>
      <c r="H39" s="230"/>
      <c r="I39" s="67">
        <f t="shared" ref="I39:I46" si="1">SUMIFS($K$7:$K$19,$B$7:$B$19,F39)</f>
        <v>60000000</v>
      </c>
      <c r="J39" s="137"/>
      <c r="K39" s="137"/>
    </row>
    <row r="40" spans="1:11" ht="18" customHeight="1">
      <c r="A40" s="4"/>
      <c r="B40" s="73"/>
      <c r="C40" s="73"/>
      <c r="D40" s="73"/>
      <c r="F40" s="54" t="s">
        <v>19</v>
      </c>
      <c r="G40" s="230">
        <f>COUNTIF($B$7:$B$19,"PMT")</f>
        <v>1</v>
      </c>
      <c r="H40" s="230"/>
      <c r="I40" s="67">
        <f t="shared" si="1"/>
        <v>25000000</v>
      </c>
      <c r="J40" s="137"/>
      <c r="K40" s="137"/>
    </row>
    <row r="41" spans="1:11" ht="18" customHeight="1">
      <c r="A41" s="4"/>
      <c r="B41" s="73"/>
      <c r="C41" s="73"/>
      <c r="D41" s="73"/>
      <c r="F41" s="54" t="s">
        <v>21</v>
      </c>
      <c r="G41" s="230">
        <f>COUNTIF($B$7:$B$19,"PRM")</f>
        <v>0</v>
      </c>
      <c r="H41" s="230"/>
      <c r="I41" s="67">
        <f>I17</f>
        <v>100000000</v>
      </c>
      <c r="J41" s="137"/>
      <c r="K41" s="137"/>
    </row>
    <row r="42" spans="1:11" ht="18" customHeight="1">
      <c r="A42" s="4"/>
      <c r="B42" s="73"/>
      <c r="C42" s="73"/>
      <c r="D42" s="73"/>
      <c r="F42" s="54" t="s">
        <v>26</v>
      </c>
      <c r="G42" s="230">
        <f>COUNTIF($B$7:$B$19,"COMBO UTM-SPM")</f>
        <v>0</v>
      </c>
      <c r="H42" s="230"/>
      <c r="I42" s="67">
        <f t="shared" si="1"/>
        <v>0</v>
      </c>
      <c r="J42" s="137"/>
      <c r="K42" s="137"/>
    </row>
    <row r="43" spans="1:11" ht="18" customHeight="1">
      <c r="A43" s="4"/>
      <c r="B43" s="73"/>
      <c r="C43" s="73"/>
      <c r="D43" s="73"/>
      <c r="F43" s="54" t="s">
        <v>27</v>
      </c>
      <c r="G43" s="230">
        <f>COUNTIF($B$7:$B$19,"COMBO UTM-SPM-PMT")</f>
        <v>0</v>
      </c>
      <c r="H43" s="230"/>
      <c r="I43" s="67">
        <f t="shared" si="1"/>
        <v>0</v>
      </c>
      <c r="J43" s="137"/>
      <c r="K43" s="137"/>
    </row>
    <row r="44" spans="1:11" ht="18" customHeight="1">
      <c r="A44" s="4"/>
      <c r="B44" s="73"/>
      <c r="C44" s="73"/>
      <c r="D44" s="73"/>
      <c r="F44" s="54" t="s">
        <v>29</v>
      </c>
      <c r="G44" s="230">
        <f>COUNTIF($B$7:$B$19,"COMBO UTM-SPM-PRM-PNC")</f>
        <v>0</v>
      </c>
      <c r="H44" s="230"/>
      <c r="I44" s="67">
        <f t="shared" si="1"/>
        <v>0</v>
      </c>
      <c r="J44" s="137"/>
      <c r="K44" s="137"/>
    </row>
    <row r="45" spans="1:11" ht="18" customHeight="1">
      <c r="A45" s="4"/>
      <c r="B45" s="73"/>
      <c r="C45" s="73"/>
      <c r="D45" s="73"/>
      <c r="F45" s="54" t="s">
        <v>30</v>
      </c>
      <c r="G45" s="230">
        <f>COUNTIF($B$7:$B$19,"COMBO PRM-PNC")</f>
        <v>1</v>
      </c>
      <c r="H45" s="230"/>
      <c r="I45" s="67">
        <v>0</v>
      </c>
      <c r="J45" s="137"/>
      <c r="K45" s="137"/>
    </row>
    <row r="46" spans="1:11" ht="18" customHeight="1">
      <c r="A46" s="4"/>
      <c r="B46" s="73"/>
      <c r="C46" s="73"/>
      <c r="D46" s="73"/>
      <c r="F46" s="54" t="s">
        <v>33</v>
      </c>
      <c r="G46" s="230">
        <f>COUNTIF($B$7:$B$19,"COMBO ALL DIV")</f>
        <v>2</v>
      </c>
      <c r="H46" s="230"/>
      <c r="I46" s="67">
        <f t="shared" si="1"/>
        <v>110000000</v>
      </c>
      <c r="J46" s="137"/>
      <c r="K46" s="137"/>
    </row>
    <row r="47" spans="1:11" ht="18" customHeight="1">
      <c r="A47" s="4"/>
      <c r="B47" s="73"/>
      <c r="C47" s="73"/>
      <c r="D47" s="73"/>
      <c r="F47" s="54" t="s">
        <v>23</v>
      </c>
      <c r="G47" s="230">
        <f>COUNTIF($B$7:$B$19,"PNC")</f>
        <v>0</v>
      </c>
      <c r="H47" s="230"/>
      <c r="I47" s="67">
        <f>J17</f>
        <v>349000000</v>
      </c>
      <c r="J47" s="137"/>
      <c r="K47" s="137"/>
    </row>
    <row r="48" spans="1:11" ht="18" customHeight="1">
      <c r="A48" s="4"/>
      <c r="B48" s="73"/>
      <c r="C48" s="73"/>
      <c r="D48" s="73"/>
      <c r="F48" s="53" t="s">
        <v>56</v>
      </c>
      <c r="G48" s="231">
        <f>SUM(G38:H47)</f>
        <v>7</v>
      </c>
      <c r="H48" s="231"/>
      <c r="I48" s="67">
        <f>SUM(I38:I47)</f>
        <v>774000000</v>
      </c>
      <c r="J48" s="137"/>
      <c r="K48" s="137"/>
    </row>
    <row r="49" spans="1:11" ht="18" customHeight="1">
      <c r="B49" s="73"/>
      <c r="C49" s="73"/>
      <c r="D49" s="73"/>
    </row>
    <row r="50" spans="1:11" s="27" customFormat="1" ht="18" customHeight="1">
      <c r="A50" s="2"/>
      <c r="B50" s="73"/>
      <c r="C50" s="73"/>
      <c r="D50" s="73"/>
      <c r="E50" s="28"/>
      <c r="F50" s="53" t="s">
        <v>3</v>
      </c>
      <c r="G50" s="56" t="s">
        <v>56</v>
      </c>
      <c r="H50" s="56" t="s">
        <v>57</v>
      </c>
      <c r="I50" s="68" t="s">
        <v>58</v>
      </c>
      <c r="J50" s="151"/>
      <c r="K50" s="151"/>
    </row>
    <row r="51" spans="1:11" ht="18" customHeight="1">
      <c r="A51" s="4"/>
      <c r="B51" s="73"/>
      <c r="C51" s="73"/>
      <c r="D51" s="73"/>
      <c r="F51" s="54" t="s">
        <v>10</v>
      </c>
      <c r="G51" s="55">
        <f>COUNTIF($G$7:$G$19,"PS")</f>
        <v>6</v>
      </c>
      <c r="H51" s="57">
        <f>COUNTIF($D$7:$D$19,"PS TERISI")</f>
        <v>4</v>
      </c>
      <c r="I51" s="69">
        <f t="shared" ref="I51:I56" si="2">G51-H51</f>
        <v>2</v>
      </c>
      <c r="J51" s="152"/>
      <c r="K51" s="151"/>
    </row>
    <row r="52" spans="1:11" ht="18" customHeight="1">
      <c r="A52" s="4"/>
      <c r="B52" s="73"/>
      <c r="C52" s="73"/>
      <c r="D52" s="73"/>
      <c r="F52" s="54" t="s">
        <v>100</v>
      </c>
      <c r="G52" s="55">
        <f>COUNTIF($G$7:$G$19,"AE")</f>
        <v>0</v>
      </c>
      <c r="H52" s="57">
        <f>COUNTIF($D$7:$D$19,"AE TERISI")</f>
        <v>0</v>
      </c>
      <c r="I52" s="69">
        <f t="shared" si="2"/>
        <v>0</v>
      </c>
      <c r="J52" s="152"/>
      <c r="K52" s="151"/>
    </row>
    <row r="53" spans="1:11" ht="18" customHeight="1">
      <c r="A53" s="4"/>
      <c r="B53" s="73"/>
      <c r="C53" s="73"/>
      <c r="D53" s="73"/>
      <c r="F53" s="54" t="s">
        <v>49</v>
      </c>
      <c r="G53" s="55">
        <f>COUNTIF($G$7:$G$19,"AM")</f>
        <v>1</v>
      </c>
      <c r="H53" s="57">
        <f>COUNTIF($D$7:$D$19,"AM TERISI")</f>
        <v>0</v>
      </c>
      <c r="I53" s="69">
        <f t="shared" si="2"/>
        <v>1</v>
      </c>
      <c r="J53" s="152"/>
      <c r="K53" s="151"/>
    </row>
    <row r="54" spans="1:11" ht="18" customHeight="1">
      <c r="A54" s="4"/>
      <c r="B54" s="73"/>
      <c r="C54" s="73"/>
      <c r="D54" s="73"/>
      <c r="F54" s="54" t="s">
        <v>17</v>
      </c>
      <c r="G54" s="55">
        <f>COUNTIF($G$7:$G$19,"DM")</f>
        <v>2</v>
      </c>
      <c r="H54" s="57">
        <f>COUNTIF($D$7:$D$19,"DM TERISI")</f>
        <v>0</v>
      </c>
      <c r="I54" s="69">
        <f t="shared" si="2"/>
        <v>2</v>
      </c>
      <c r="J54" s="152"/>
      <c r="K54" s="151"/>
    </row>
    <row r="55" spans="1:11" ht="18" customHeight="1">
      <c r="A55" s="4"/>
      <c r="B55" s="73"/>
      <c r="C55" s="73"/>
      <c r="D55" s="73"/>
      <c r="F55" s="54" t="s">
        <v>32</v>
      </c>
      <c r="G55" s="55">
        <f>COUNTIF($G$7:$G$19,"RSM")</f>
        <v>0</v>
      </c>
      <c r="H55" s="57">
        <f>COUNTIF($D$7:$D$19,"RSM TERISI")</f>
        <v>0</v>
      </c>
      <c r="I55" s="69">
        <f t="shared" si="2"/>
        <v>0</v>
      </c>
      <c r="J55" s="152"/>
      <c r="K55" s="151"/>
    </row>
    <row r="56" spans="1:11" ht="18" customHeight="1">
      <c r="A56" s="4"/>
      <c r="B56" s="73"/>
      <c r="C56" s="73"/>
      <c r="D56" s="73"/>
      <c r="F56" s="54" t="s">
        <v>52</v>
      </c>
      <c r="G56" s="55">
        <v>1</v>
      </c>
      <c r="H56" s="57">
        <f>COUNTIF($D$7:$D$19,"BCO TERISI")</f>
        <v>1</v>
      </c>
      <c r="I56" s="69">
        <f t="shared" si="2"/>
        <v>0</v>
      </c>
      <c r="J56" s="152"/>
      <c r="K56" s="151"/>
    </row>
    <row r="57" spans="1:11" ht="18" customHeight="1">
      <c r="A57" s="4"/>
      <c r="B57" s="73"/>
      <c r="C57" s="73"/>
      <c r="D57" s="73"/>
      <c r="F57" s="53" t="s">
        <v>56</v>
      </c>
      <c r="G57" s="56">
        <f>SUM(G51:G56)</f>
        <v>10</v>
      </c>
      <c r="H57" s="56">
        <f>SUM(H51:H56)</f>
        <v>5</v>
      </c>
      <c r="I57" s="68">
        <f>SUM(I51:I56)</f>
        <v>5</v>
      </c>
      <c r="J57" s="151"/>
      <c r="K57" s="151"/>
    </row>
    <row r="58" spans="1:11" ht="18" customHeight="1">
      <c r="A58" s="4"/>
      <c r="B58" s="4"/>
      <c r="C58" s="4"/>
      <c r="D58" s="4"/>
      <c r="H58" s="58">
        <f>H57/G57</f>
        <v>0.5</v>
      </c>
      <c r="I58" s="70">
        <f>I57/G57</f>
        <v>0.5</v>
      </c>
      <c r="J58" s="151"/>
      <c r="K58" s="151"/>
    </row>
  </sheetData>
  <mergeCells count="23">
    <mergeCell ref="G48:H48"/>
    <mergeCell ref="G39:H39"/>
    <mergeCell ref="G40:H40"/>
    <mergeCell ref="G41:H41"/>
    <mergeCell ref="G47:H47"/>
    <mergeCell ref="G46:H46"/>
    <mergeCell ref="G44:H44"/>
    <mergeCell ref="G45:H45"/>
    <mergeCell ref="B4:B5"/>
    <mergeCell ref="D4:D5"/>
    <mergeCell ref="F4:F5"/>
    <mergeCell ref="G4:G5"/>
    <mergeCell ref="C4:C5"/>
    <mergeCell ref="F1:K1"/>
    <mergeCell ref="G42:H42"/>
    <mergeCell ref="G43:H43"/>
    <mergeCell ref="F2:K2"/>
    <mergeCell ref="G37:H37"/>
    <mergeCell ref="G38:H38"/>
    <mergeCell ref="H4:H5"/>
    <mergeCell ref="I4:I5"/>
    <mergeCell ref="J4:J5"/>
    <mergeCell ref="K4:K5"/>
  </mergeCells>
  <conditionalFormatting sqref="D4">
    <cfRule type="duplicateValues" dxfId="30" priority="2"/>
  </conditionalFormatting>
  <conditionalFormatting sqref="F4">
    <cfRule type="duplicateValues" dxfId="29" priority="5"/>
  </conditionalFormatting>
  <conditionalFormatting sqref="F7:F19">
    <cfRule type="duplicateValues" dxfId="28" priority="1"/>
  </conditionalFormatting>
  <conditionalFormatting sqref="F19">
    <cfRule type="duplicateValues" dxfId="27" priority="6"/>
  </conditionalFormatting>
  <conditionalFormatting sqref="F38:F47">
    <cfRule type="duplicateValues" dxfId="26" priority="3"/>
  </conditionalFormatting>
  <printOptions horizontalCentered="1"/>
  <pageMargins left="0.31" right="0.34" top="0.47" bottom="0.42" header="0.31496062992126" footer="0.31496062992126"/>
  <pageSetup paperSize="9" scale="70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NAD!$B$5:$B$13</xm:f>
          </x14:formula1>
          <xm:sqref>B7:B19</xm:sqref>
        </x14:dataValidation>
        <x14:dataValidation type="list" allowBlank="1" showInputMessage="1" showErrorMessage="1" xr:uid="{00000000-0002-0000-0500-000001000000}">
          <x14:formula1>
            <xm:f>NAD!$D$5:$D$16</xm:f>
          </x14:formula1>
          <xm:sqref>D7:D19</xm:sqref>
        </x14:dataValidation>
        <x14:dataValidation type="list" allowBlank="1" showInputMessage="1" showErrorMessage="1" xr:uid="{F87FAD9F-63D9-4A47-8091-D7AD8D60007A}">
          <x14:formula1>
            <xm:f>NAD!$C$5:$C$10</xm:f>
          </x14:formula1>
          <xm:sqref>C7:C19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58"/>
  <sheetViews>
    <sheetView showGridLines="0" zoomScale="70" zoomScaleNormal="70" workbookViewId="0">
      <pane xSplit="1" ySplit="6" topLeftCell="B22" activePane="bottomRight" state="frozen"/>
      <selection pane="topRight" activeCell="B1" sqref="B1"/>
      <selection pane="bottomLeft" activeCell="A7" sqref="A7"/>
      <selection pane="bottomRight" activeCell="F1" sqref="F1:K24"/>
    </sheetView>
  </sheetViews>
  <sheetFormatPr defaultColWidth="3.5703125" defaultRowHeight="18" customHeight="1"/>
  <cols>
    <col min="1" max="1" width="2.5703125" style="28" customWidth="1"/>
    <col min="2" max="2" width="20.5703125" style="33" customWidth="1"/>
    <col min="3" max="4" width="11.5703125" style="33" customWidth="1"/>
    <col min="5" max="5" width="2.5703125" style="28" customWidth="1"/>
    <col min="6" max="6" width="37.85546875" style="28" customWidth="1"/>
    <col min="7" max="7" width="10.5703125" style="28" customWidth="1"/>
    <col min="8" max="8" width="35.5703125" style="28" customWidth="1"/>
    <col min="9" max="9" width="22.140625" style="29" customWidth="1"/>
    <col min="10" max="10" width="22.140625" style="136" customWidth="1"/>
    <col min="11" max="11" width="22.140625" style="157" customWidth="1"/>
    <col min="12" max="12" width="8.85546875" style="30" bestFit="1" customWidth="1"/>
    <col min="13" max="16384" width="3.5703125" style="30"/>
  </cols>
  <sheetData>
    <row r="1" spans="1:11" ht="24.95" customHeight="1">
      <c r="F1" s="224" t="s">
        <v>365</v>
      </c>
      <c r="G1" s="224"/>
      <c r="H1" s="224"/>
      <c r="I1" s="224"/>
      <c r="J1" s="224"/>
      <c r="K1" s="224"/>
    </row>
    <row r="2" spans="1:11" ht="24.95" customHeight="1">
      <c r="B2" s="73"/>
      <c r="C2" s="73"/>
      <c r="D2" s="73"/>
      <c r="F2" s="224" t="s">
        <v>191</v>
      </c>
      <c r="G2" s="224"/>
      <c r="H2" s="224"/>
      <c r="I2" s="224"/>
      <c r="J2" s="224"/>
      <c r="K2" s="224"/>
    </row>
    <row r="3" spans="1:11" ht="18" customHeight="1">
      <c r="B3" s="127"/>
      <c r="C3" s="127"/>
      <c r="D3" s="127"/>
      <c r="F3" s="31"/>
      <c r="G3" s="31"/>
      <c r="H3" s="32"/>
      <c r="I3" s="59"/>
      <c r="J3" s="59"/>
      <c r="K3" s="141"/>
    </row>
    <row r="4" spans="1:11" ht="20.100000000000001" customHeight="1">
      <c r="B4" s="220" t="s">
        <v>0</v>
      </c>
      <c r="C4" s="220" t="s">
        <v>296</v>
      </c>
      <c r="D4" s="220" t="s">
        <v>1</v>
      </c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1" ht="20.100000000000001" customHeight="1">
      <c r="B5" s="221"/>
      <c r="C5" s="221"/>
      <c r="D5" s="221"/>
      <c r="F5" s="223"/>
      <c r="G5" s="223"/>
      <c r="H5" s="223"/>
      <c r="I5" s="226"/>
      <c r="J5" s="228"/>
      <c r="K5" s="228"/>
    </row>
    <row r="6" spans="1:11" ht="9.9499999999999993" customHeight="1">
      <c r="A6" s="28" t="s">
        <v>6</v>
      </c>
      <c r="H6" s="34"/>
      <c r="I6" s="165"/>
      <c r="J6" s="150"/>
      <c r="K6" s="160"/>
    </row>
    <row r="7" spans="1:11" ht="18" customHeight="1">
      <c r="A7" s="28" t="s">
        <v>6</v>
      </c>
      <c r="B7" s="35" t="s">
        <v>7</v>
      </c>
      <c r="C7" s="35" t="s">
        <v>7</v>
      </c>
      <c r="D7" s="35" t="s">
        <v>8</v>
      </c>
      <c r="F7" s="79" t="s">
        <v>301</v>
      </c>
      <c r="G7" s="79" t="s">
        <v>10</v>
      </c>
      <c r="H7" s="37" t="s">
        <v>349</v>
      </c>
      <c r="I7" s="60">
        <v>90000000</v>
      </c>
      <c r="J7" s="60"/>
      <c r="K7" s="143">
        <f>SUM(I7:J7)</f>
        <v>90000000</v>
      </c>
    </row>
    <row r="8" spans="1:11" ht="18" customHeight="1">
      <c r="A8" s="28" t="s">
        <v>6</v>
      </c>
      <c r="B8" s="35" t="s">
        <v>13</v>
      </c>
      <c r="C8" s="35" t="s">
        <v>13</v>
      </c>
      <c r="D8" s="35" t="s">
        <v>8</v>
      </c>
      <c r="F8" s="92" t="s">
        <v>173</v>
      </c>
      <c r="G8" s="40" t="s">
        <v>10</v>
      </c>
      <c r="H8" s="41" t="s">
        <v>342</v>
      </c>
      <c r="I8" s="62">
        <v>70000000</v>
      </c>
      <c r="J8" s="62"/>
      <c r="K8" s="156">
        <f t="shared" ref="K8:K24" si="0">SUM(I8:J8)</f>
        <v>70000000</v>
      </c>
    </row>
    <row r="9" spans="1:11" ht="18" customHeight="1">
      <c r="A9" s="28" t="s">
        <v>6</v>
      </c>
      <c r="B9" s="35" t="s">
        <v>19</v>
      </c>
      <c r="C9" s="35" t="s">
        <v>19</v>
      </c>
      <c r="D9" s="35" t="s">
        <v>8</v>
      </c>
      <c r="F9" s="94" t="s">
        <v>185</v>
      </c>
      <c r="G9" s="95" t="s">
        <v>10</v>
      </c>
      <c r="H9" s="89" t="s">
        <v>186</v>
      </c>
      <c r="I9" s="91">
        <v>30000000</v>
      </c>
      <c r="J9" s="91"/>
      <c r="K9" s="146">
        <f>SUM(I9:J9)</f>
        <v>30000000</v>
      </c>
    </row>
    <row r="10" spans="1:11" ht="18" customHeight="1">
      <c r="A10" s="28" t="s">
        <v>6</v>
      </c>
      <c r="B10" s="42"/>
      <c r="C10" s="42" t="s">
        <v>7</v>
      </c>
      <c r="D10" s="42" t="s">
        <v>20</v>
      </c>
      <c r="F10" s="90" t="s">
        <v>174</v>
      </c>
      <c r="G10" s="49" t="s">
        <v>17</v>
      </c>
      <c r="H10" s="50" t="s">
        <v>175</v>
      </c>
      <c r="I10" s="65">
        <f>SUM(I7:I9)</f>
        <v>190000000</v>
      </c>
      <c r="J10" s="65">
        <f>SUM(J7:J9)</f>
        <v>0</v>
      </c>
      <c r="K10" s="65">
        <f t="shared" si="0"/>
        <v>190000000</v>
      </c>
    </row>
    <row r="11" spans="1:11" ht="18" customHeight="1">
      <c r="A11" s="28" t="s">
        <v>6</v>
      </c>
      <c r="B11" s="35"/>
      <c r="C11" s="35"/>
      <c r="D11" s="35"/>
      <c r="F11" s="46"/>
      <c r="I11" s="135"/>
      <c r="J11" s="150"/>
      <c r="K11" s="144"/>
    </row>
    <row r="12" spans="1:11" ht="18" customHeight="1">
      <c r="A12" s="28" t="s">
        <v>6</v>
      </c>
      <c r="B12" s="35" t="s">
        <v>7</v>
      </c>
      <c r="C12" s="35" t="s">
        <v>7</v>
      </c>
      <c r="D12" s="35" t="s">
        <v>8</v>
      </c>
      <c r="F12" s="77" t="s">
        <v>176</v>
      </c>
      <c r="G12" s="36" t="s">
        <v>10</v>
      </c>
      <c r="H12" s="78" t="s">
        <v>177</v>
      </c>
      <c r="I12" s="85">
        <v>70000000</v>
      </c>
      <c r="J12" s="85"/>
      <c r="K12" s="161">
        <f t="shared" si="0"/>
        <v>70000000</v>
      </c>
    </row>
    <row r="13" spans="1:11" ht="18" customHeight="1">
      <c r="A13" s="28" t="s">
        <v>6</v>
      </c>
      <c r="B13" s="35" t="s">
        <v>7</v>
      </c>
      <c r="C13" s="35" t="s">
        <v>7</v>
      </c>
      <c r="D13" s="35" t="s">
        <v>8</v>
      </c>
      <c r="F13" s="77" t="s">
        <v>178</v>
      </c>
      <c r="G13" s="36" t="s">
        <v>10</v>
      </c>
      <c r="H13" s="78" t="s">
        <v>179</v>
      </c>
      <c r="I13" s="85">
        <v>75000000</v>
      </c>
      <c r="J13" s="85"/>
      <c r="K13" s="161">
        <f t="shared" si="0"/>
        <v>75000000</v>
      </c>
    </row>
    <row r="14" spans="1:11" ht="18" customHeight="1">
      <c r="A14" s="28" t="s">
        <v>6</v>
      </c>
      <c r="B14" s="35" t="s">
        <v>13</v>
      </c>
      <c r="C14" s="35" t="s">
        <v>13</v>
      </c>
      <c r="D14" s="35" t="s">
        <v>8</v>
      </c>
      <c r="F14" s="92" t="s">
        <v>180</v>
      </c>
      <c r="G14" s="40" t="s">
        <v>10</v>
      </c>
      <c r="H14" s="41" t="s">
        <v>181</v>
      </c>
      <c r="I14" s="62">
        <v>50000000</v>
      </c>
      <c r="J14" s="62"/>
      <c r="K14" s="156">
        <f t="shared" si="0"/>
        <v>50000000</v>
      </c>
    </row>
    <row r="15" spans="1:11" ht="18" customHeight="1">
      <c r="A15" s="28" t="s">
        <v>6</v>
      </c>
      <c r="B15" s="35" t="s">
        <v>19</v>
      </c>
      <c r="C15" s="35" t="s">
        <v>19</v>
      </c>
      <c r="D15" s="35" t="s">
        <v>8</v>
      </c>
      <c r="F15" s="94" t="s">
        <v>187</v>
      </c>
      <c r="G15" s="94" t="s">
        <v>10</v>
      </c>
      <c r="H15" s="89" t="s">
        <v>351</v>
      </c>
      <c r="I15" s="91">
        <v>30000000</v>
      </c>
      <c r="J15" s="91"/>
      <c r="K15" s="146">
        <f>SUM(I15:J15)</f>
        <v>30000000</v>
      </c>
    </row>
    <row r="16" spans="1:11" ht="18" customHeight="1">
      <c r="A16" s="28" t="s">
        <v>6</v>
      </c>
      <c r="B16" s="35"/>
      <c r="C16" s="35" t="s">
        <v>7</v>
      </c>
      <c r="D16" s="42" t="s">
        <v>15</v>
      </c>
      <c r="F16" s="80" t="s">
        <v>183</v>
      </c>
      <c r="G16" s="80" t="s">
        <v>17</v>
      </c>
      <c r="H16" s="45" t="s">
        <v>184</v>
      </c>
      <c r="I16" s="63">
        <f>SUM(I12:I15)</f>
        <v>225000000</v>
      </c>
      <c r="J16" s="63">
        <f>SUM(J12:J15)</f>
        <v>0</v>
      </c>
      <c r="K16" s="63">
        <f t="shared" si="0"/>
        <v>225000000</v>
      </c>
    </row>
    <row r="17" spans="1:11" ht="18" customHeight="1">
      <c r="A17" s="28" t="s">
        <v>6</v>
      </c>
      <c r="B17" s="42"/>
      <c r="C17" s="42"/>
      <c r="D17" s="42"/>
      <c r="F17" s="46"/>
      <c r="I17" s="135"/>
      <c r="J17" s="150"/>
      <c r="K17" s="144"/>
    </row>
    <row r="18" spans="1:11" ht="18" customHeight="1">
      <c r="A18" s="28" t="s">
        <v>6</v>
      </c>
      <c r="B18" s="35" t="s">
        <v>27</v>
      </c>
      <c r="C18" s="35" t="s">
        <v>7</v>
      </c>
      <c r="D18" s="35" t="s">
        <v>8</v>
      </c>
      <c r="F18" s="93" t="s">
        <v>182</v>
      </c>
      <c r="G18" s="47" t="s">
        <v>10</v>
      </c>
      <c r="H18" s="89" t="s">
        <v>188</v>
      </c>
      <c r="I18" s="91">
        <v>40000000</v>
      </c>
      <c r="J18" s="91"/>
      <c r="K18" s="146">
        <f>SUM(I18:J18)</f>
        <v>40000000</v>
      </c>
    </row>
    <row r="19" spans="1:11" ht="18" customHeight="1">
      <c r="A19" s="28" t="s">
        <v>6</v>
      </c>
      <c r="B19" s="35"/>
      <c r="C19" s="35"/>
      <c r="D19" s="35"/>
      <c r="F19" s="46"/>
      <c r="I19" s="135"/>
      <c r="J19" s="150"/>
      <c r="K19" s="144"/>
    </row>
    <row r="20" spans="1:11" ht="18" customHeight="1">
      <c r="A20" s="28" t="s">
        <v>6</v>
      </c>
      <c r="B20" s="35" t="s">
        <v>33</v>
      </c>
      <c r="C20" s="35" t="s">
        <v>13</v>
      </c>
      <c r="D20" s="35" t="s">
        <v>8</v>
      </c>
      <c r="F20" s="93" t="s">
        <v>189</v>
      </c>
      <c r="G20" s="47" t="s">
        <v>10</v>
      </c>
      <c r="H20" s="89" t="s">
        <v>190</v>
      </c>
      <c r="I20" s="91">
        <v>65000000</v>
      </c>
      <c r="J20" s="91"/>
      <c r="K20" s="146">
        <f t="shared" si="0"/>
        <v>65000000</v>
      </c>
    </row>
    <row r="21" spans="1:11" ht="18" customHeight="1">
      <c r="A21" s="28" t="s">
        <v>6</v>
      </c>
      <c r="B21" s="35"/>
      <c r="C21" s="35"/>
      <c r="D21" s="35"/>
      <c r="F21" s="46"/>
      <c r="I21" s="135"/>
      <c r="J21" s="150"/>
      <c r="K21" s="144"/>
    </row>
    <row r="22" spans="1:11" ht="18" customHeight="1">
      <c r="A22" s="28" t="s">
        <v>6</v>
      </c>
      <c r="B22" s="35" t="s">
        <v>30</v>
      </c>
      <c r="C22" s="35" t="s">
        <v>21</v>
      </c>
      <c r="D22" s="35" t="s">
        <v>272</v>
      </c>
      <c r="F22" s="90" t="s">
        <v>332</v>
      </c>
      <c r="G22" s="96" t="s">
        <v>49</v>
      </c>
      <c r="H22" s="97" t="s">
        <v>350</v>
      </c>
      <c r="I22" s="98">
        <v>30000000</v>
      </c>
      <c r="J22" s="98">
        <v>349000000</v>
      </c>
      <c r="K22" s="98">
        <f t="shared" si="0"/>
        <v>379000000</v>
      </c>
    </row>
    <row r="23" spans="1:11" ht="18" customHeight="1">
      <c r="A23" s="28" t="s">
        <v>6</v>
      </c>
      <c r="B23" s="35"/>
      <c r="C23" s="35"/>
      <c r="D23" s="35"/>
      <c r="F23" s="46"/>
      <c r="I23" s="135"/>
      <c r="J23" s="150"/>
      <c r="K23" s="144"/>
    </row>
    <row r="24" spans="1:11" ht="24.95" customHeight="1">
      <c r="A24" s="28" t="s">
        <v>6</v>
      </c>
      <c r="B24" s="35"/>
      <c r="C24" s="35" t="s">
        <v>52</v>
      </c>
      <c r="D24" s="35" t="s">
        <v>31</v>
      </c>
      <c r="F24" s="51" t="s">
        <v>191</v>
      </c>
      <c r="G24" s="51" t="s">
        <v>59</v>
      </c>
      <c r="H24" s="52" t="s">
        <v>306</v>
      </c>
      <c r="I24" s="66">
        <f>I10+I16+I18+I20+I22</f>
        <v>550000000</v>
      </c>
      <c r="J24" s="66">
        <f>J10+J16+J18+J20+J22</f>
        <v>349000000</v>
      </c>
      <c r="K24" s="66">
        <f t="shared" si="0"/>
        <v>899000000</v>
      </c>
    </row>
    <row r="25" spans="1:11" ht="18" customHeight="1">
      <c r="B25" s="75"/>
      <c r="C25" s="75"/>
      <c r="D25" s="75"/>
      <c r="J25" s="29"/>
      <c r="K25" s="142"/>
    </row>
    <row r="26" spans="1:11" ht="18" customHeight="1">
      <c r="B26" s="75"/>
      <c r="C26" s="75"/>
      <c r="D26" s="75"/>
      <c r="J26" s="29"/>
      <c r="K26" s="142"/>
    </row>
    <row r="27" spans="1:11" ht="18" customHeight="1">
      <c r="B27" s="75"/>
      <c r="C27" s="75"/>
      <c r="D27" s="75"/>
      <c r="J27" s="29"/>
      <c r="K27" s="142"/>
    </row>
    <row r="28" spans="1:11" ht="18" customHeight="1">
      <c r="B28" s="75"/>
      <c r="C28" s="75"/>
      <c r="D28" s="75"/>
      <c r="J28" s="29"/>
      <c r="K28" s="142"/>
    </row>
    <row r="29" spans="1:11" ht="18" customHeight="1">
      <c r="B29" s="75"/>
      <c r="C29" s="75"/>
      <c r="D29" s="75"/>
      <c r="J29" s="29"/>
      <c r="K29" s="142"/>
    </row>
    <row r="30" spans="1:11" ht="18" customHeight="1">
      <c r="B30" s="75"/>
      <c r="C30" s="75"/>
      <c r="D30" s="75"/>
      <c r="J30" s="29"/>
      <c r="K30" s="142"/>
    </row>
    <row r="31" spans="1:11" ht="18" customHeight="1">
      <c r="B31" s="75"/>
      <c r="C31" s="75"/>
      <c r="D31" s="75"/>
      <c r="J31" s="29"/>
      <c r="K31" s="142"/>
    </row>
    <row r="32" spans="1:11" ht="18" customHeight="1">
      <c r="B32" s="75"/>
      <c r="C32" s="75"/>
      <c r="D32" s="75"/>
      <c r="J32" s="29"/>
      <c r="K32" s="142"/>
    </row>
    <row r="33" spans="1:11" ht="18" customHeight="1">
      <c r="B33" s="75"/>
      <c r="C33" s="75"/>
      <c r="D33" s="75"/>
      <c r="J33" s="29"/>
      <c r="K33" s="142"/>
    </row>
    <row r="34" spans="1:11" ht="18" customHeight="1">
      <c r="B34" s="75"/>
      <c r="C34" s="75"/>
      <c r="D34" s="75"/>
      <c r="J34" s="29"/>
      <c r="K34" s="142"/>
    </row>
    <row r="35" spans="1:11" ht="18" customHeight="1">
      <c r="B35" s="75"/>
      <c r="C35" s="75"/>
      <c r="D35" s="75"/>
      <c r="J35" s="29"/>
      <c r="K35" s="142"/>
    </row>
    <row r="36" spans="1:11" ht="18" customHeight="1">
      <c r="B36" s="75"/>
      <c r="C36" s="75"/>
      <c r="D36" s="75"/>
      <c r="J36" s="29"/>
      <c r="K36" s="142"/>
    </row>
    <row r="37" spans="1:11" s="27" customFormat="1" ht="18" customHeight="1">
      <c r="A37" s="2"/>
      <c r="B37" s="73"/>
      <c r="C37" s="73"/>
      <c r="D37" s="73"/>
      <c r="E37" s="28"/>
      <c r="F37" s="53" t="s">
        <v>54</v>
      </c>
      <c r="G37" s="229" t="s">
        <v>55</v>
      </c>
      <c r="H37" s="229"/>
      <c r="I37" s="67" t="s">
        <v>5</v>
      </c>
      <c r="J37" s="137"/>
      <c r="K37" s="137"/>
    </row>
    <row r="38" spans="1:11" ht="18" customHeight="1">
      <c r="A38" s="4"/>
      <c r="B38" s="73"/>
      <c r="C38" s="73"/>
      <c r="D38" s="73"/>
      <c r="F38" s="54" t="s">
        <v>7</v>
      </c>
      <c r="G38" s="230">
        <f>COUNTIF($B$7:$B$24,"UTM")</f>
        <v>3</v>
      </c>
      <c r="H38" s="230"/>
      <c r="I38" s="67">
        <f t="shared" ref="I38:I46" si="1">SUMIFS($K$7:$K$24,$B$7:$B$24,F38)</f>
        <v>235000000</v>
      </c>
      <c r="J38" s="137"/>
      <c r="K38" s="137"/>
    </row>
    <row r="39" spans="1:11" ht="18" customHeight="1">
      <c r="A39" s="4"/>
      <c r="B39" s="73"/>
      <c r="C39" s="73"/>
      <c r="D39" s="73"/>
      <c r="F39" s="54" t="s">
        <v>13</v>
      </c>
      <c r="G39" s="230">
        <f>COUNTIF($B$7:$B$24,"SPM")</f>
        <v>2</v>
      </c>
      <c r="H39" s="230"/>
      <c r="I39" s="67">
        <f t="shared" si="1"/>
        <v>120000000</v>
      </c>
      <c r="J39" s="137"/>
      <c r="K39" s="137"/>
    </row>
    <row r="40" spans="1:11" ht="18" customHeight="1">
      <c r="A40" s="4"/>
      <c r="B40" s="73"/>
      <c r="C40" s="73"/>
      <c r="D40" s="73"/>
      <c r="F40" s="54" t="s">
        <v>19</v>
      </c>
      <c r="G40" s="230">
        <f>COUNTIF($B$7:$B$24,"PMT")</f>
        <v>2</v>
      </c>
      <c r="H40" s="230"/>
      <c r="I40" s="67">
        <f t="shared" si="1"/>
        <v>60000000</v>
      </c>
      <c r="J40" s="137"/>
      <c r="K40" s="137"/>
    </row>
    <row r="41" spans="1:11" ht="18" customHeight="1">
      <c r="A41" s="4"/>
      <c r="B41" s="73"/>
      <c r="C41" s="73"/>
      <c r="D41" s="73"/>
      <c r="F41" s="54" t="s">
        <v>21</v>
      </c>
      <c r="G41" s="230">
        <f>COUNTIF($B$7:$B$24,"PRM")</f>
        <v>0</v>
      </c>
      <c r="H41" s="230"/>
      <c r="I41" s="67">
        <f>I22</f>
        <v>30000000</v>
      </c>
      <c r="J41" s="137"/>
      <c r="K41" s="137"/>
    </row>
    <row r="42" spans="1:11" ht="18" customHeight="1">
      <c r="A42" s="4"/>
      <c r="B42" s="73"/>
      <c r="C42" s="73"/>
      <c r="D42" s="73"/>
      <c r="F42" s="54" t="s">
        <v>26</v>
      </c>
      <c r="G42" s="230">
        <f>COUNTIF($B$7:$B$24,"COMBO UTM-SPM")</f>
        <v>0</v>
      </c>
      <c r="H42" s="230"/>
      <c r="I42" s="67">
        <f t="shared" si="1"/>
        <v>0</v>
      </c>
      <c r="J42" s="137"/>
      <c r="K42" s="137"/>
    </row>
    <row r="43" spans="1:11" ht="18" customHeight="1">
      <c r="A43" s="4"/>
      <c r="B43" s="73"/>
      <c r="C43" s="73"/>
      <c r="D43" s="73"/>
      <c r="F43" s="54" t="s">
        <v>27</v>
      </c>
      <c r="G43" s="230">
        <f>COUNTIF($B$7:$B$24,"COMBO UTM-SPM-PMT")</f>
        <v>1</v>
      </c>
      <c r="H43" s="230"/>
      <c r="I43" s="67">
        <f t="shared" si="1"/>
        <v>40000000</v>
      </c>
      <c r="J43" s="137"/>
      <c r="K43" s="137"/>
    </row>
    <row r="44" spans="1:11" ht="18" customHeight="1">
      <c r="A44" s="4"/>
      <c r="B44" s="73"/>
      <c r="C44" s="73"/>
      <c r="D44" s="73"/>
      <c r="F44" s="54" t="s">
        <v>29</v>
      </c>
      <c r="G44" s="230">
        <f>COUNTIF($B$7:$B$24,"COMBO UTM-SPM-PRM-PNC")</f>
        <v>0</v>
      </c>
      <c r="H44" s="230"/>
      <c r="I44" s="67">
        <f t="shared" si="1"/>
        <v>0</v>
      </c>
      <c r="J44" s="137"/>
      <c r="K44" s="137"/>
    </row>
    <row r="45" spans="1:11" ht="18" customHeight="1">
      <c r="A45" s="4"/>
      <c r="B45" s="73"/>
      <c r="C45" s="73"/>
      <c r="D45" s="73"/>
      <c r="F45" s="54" t="s">
        <v>30</v>
      </c>
      <c r="G45" s="230">
        <f>COUNTIF($B$7:$B$24,"COMBO PRM-PNC")</f>
        <v>1</v>
      </c>
      <c r="H45" s="230"/>
      <c r="I45" s="67">
        <v>0</v>
      </c>
      <c r="J45" s="137"/>
      <c r="K45" s="137"/>
    </row>
    <row r="46" spans="1:11" ht="18" customHeight="1">
      <c r="A46" s="4"/>
      <c r="B46" s="73"/>
      <c r="C46" s="73"/>
      <c r="D46" s="73"/>
      <c r="F46" s="54" t="s">
        <v>33</v>
      </c>
      <c r="G46" s="230">
        <f>COUNTIF($B$7:$B$24,"COMBO ALL DIV")</f>
        <v>1</v>
      </c>
      <c r="H46" s="230"/>
      <c r="I46" s="67">
        <f t="shared" si="1"/>
        <v>65000000</v>
      </c>
      <c r="J46" s="137"/>
      <c r="K46" s="137"/>
    </row>
    <row r="47" spans="1:11" ht="18" customHeight="1">
      <c r="A47" s="4"/>
      <c r="B47" s="73"/>
      <c r="C47" s="73"/>
      <c r="D47" s="73"/>
      <c r="F47" s="54" t="s">
        <v>23</v>
      </c>
      <c r="G47" s="230">
        <f>COUNTIF($B$7:$B$24,"PNC")</f>
        <v>0</v>
      </c>
      <c r="H47" s="230"/>
      <c r="I47" s="67">
        <f>J22</f>
        <v>349000000</v>
      </c>
      <c r="J47" s="137"/>
      <c r="K47" s="137"/>
    </row>
    <row r="48" spans="1:11" ht="18" customHeight="1">
      <c r="A48" s="4"/>
      <c r="B48" s="73"/>
      <c r="C48" s="73"/>
      <c r="D48" s="73"/>
      <c r="F48" s="53" t="s">
        <v>56</v>
      </c>
      <c r="G48" s="231">
        <f>SUM(G38:H47)</f>
        <v>10</v>
      </c>
      <c r="H48" s="231"/>
      <c r="I48" s="67">
        <f>SUM(I38:I47)</f>
        <v>899000000</v>
      </c>
      <c r="J48" s="137"/>
      <c r="K48" s="137"/>
    </row>
    <row r="49" spans="1:11" ht="18" customHeight="1">
      <c r="B49" s="73"/>
      <c r="C49" s="73"/>
      <c r="D49" s="73"/>
    </row>
    <row r="50" spans="1:11" s="27" customFormat="1" ht="18" customHeight="1">
      <c r="A50" s="2"/>
      <c r="B50" s="73"/>
      <c r="C50" s="73"/>
      <c r="D50" s="73"/>
      <c r="E50" s="28"/>
      <c r="F50" s="53" t="s">
        <v>3</v>
      </c>
      <c r="G50" s="56" t="s">
        <v>56</v>
      </c>
      <c r="H50" s="56" t="s">
        <v>57</v>
      </c>
      <c r="I50" s="68" t="s">
        <v>58</v>
      </c>
      <c r="J50" s="151"/>
      <c r="K50" s="151"/>
    </row>
    <row r="51" spans="1:11" ht="18" customHeight="1">
      <c r="A51" s="4"/>
      <c r="B51" s="73"/>
      <c r="C51" s="73"/>
      <c r="D51" s="73"/>
      <c r="F51" s="54" t="s">
        <v>10</v>
      </c>
      <c r="G51" s="55">
        <f>COUNTIF($G$7:$G$24,"PS")</f>
        <v>9</v>
      </c>
      <c r="H51" s="57">
        <f>COUNTIF($D$7:$D$24,"PS TERISI")</f>
        <v>9</v>
      </c>
      <c r="I51" s="69">
        <f t="shared" ref="I51:I56" si="2">G51-H51</f>
        <v>0</v>
      </c>
      <c r="J51" s="152"/>
      <c r="K51" s="151"/>
    </row>
    <row r="52" spans="1:11" ht="18" customHeight="1">
      <c r="A52" s="4"/>
      <c r="B52" s="73"/>
      <c r="C52" s="73"/>
      <c r="D52" s="73"/>
      <c r="F52" s="54" t="s">
        <v>100</v>
      </c>
      <c r="G52" s="55">
        <f>COUNTIF($G$7:$G$24,"AE")</f>
        <v>0</v>
      </c>
      <c r="H52" s="57">
        <f>COUNTIF($D$7:$D$24,"AE TERISI")</f>
        <v>0</v>
      </c>
      <c r="I52" s="69">
        <f t="shared" si="2"/>
        <v>0</v>
      </c>
      <c r="J52" s="152"/>
      <c r="K52" s="151"/>
    </row>
    <row r="53" spans="1:11" ht="18" customHeight="1">
      <c r="A53" s="4"/>
      <c r="B53" s="73"/>
      <c r="C53" s="73"/>
      <c r="D53" s="73"/>
      <c r="F53" s="54" t="s">
        <v>49</v>
      </c>
      <c r="G53" s="55">
        <f>COUNTIF($G$7:$G$24,"AM")</f>
        <v>1</v>
      </c>
      <c r="H53" s="57">
        <f>COUNTIF($D$7:$D$24,"AM TERISI")</f>
        <v>0</v>
      </c>
      <c r="I53" s="69">
        <f t="shared" si="2"/>
        <v>1</v>
      </c>
      <c r="J53" s="152"/>
      <c r="K53" s="151"/>
    </row>
    <row r="54" spans="1:11" ht="18" customHeight="1">
      <c r="A54" s="4"/>
      <c r="B54" s="73"/>
      <c r="C54" s="73"/>
      <c r="D54" s="73"/>
      <c r="F54" s="54" t="s">
        <v>17</v>
      </c>
      <c r="G54" s="55">
        <f>COUNTIF($G$7:$G$24,"DM")</f>
        <v>2</v>
      </c>
      <c r="H54" s="57">
        <f>COUNTIF($D$7:$D$24,"DM TERISI")</f>
        <v>1</v>
      </c>
      <c r="I54" s="69">
        <f t="shared" si="2"/>
        <v>1</v>
      </c>
      <c r="J54" s="152"/>
      <c r="K54" s="151"/>
    </row>
    <row r="55" spans="1:11" ht="18" customHeight="1">
      <c r="A55" s="4"/>
      <c r="B55" s="73"/>
      <c r="C55" s="73"/>
      <c r="D55" s="73"/>
      <c r="F55" s="54" t="s">
        <v>32</v>
      </c>
      <c r="G55" s="55">
        <f>COUNTIF($G$7:$G$24,"RSM")</f>
        <v>0</v>
      </c>
      <c r="H55" s="57">
        <f>COUNTIF($D$7:$D$24,"RSM TERISI")</f>
        <v>0</v>
      </c>
      <c r="I55" s="69">
        <f t="shared" si="2"/>
        <v>0</v>
      </c>
      <c r="J55" s="152"/>
      <c r="K55" s="151"/>
    </row>
    <row r="56" spans="1:11" ht="18" customHeight="1">
      <c r="A56" s="4"/>
      <c r="B56" s="73"/>
      <c r="C56" s="73"/>
      <c r="D56" s="73"/>
      <c r="F56" s="54" t="s">
        <v>52</v>
      </c>
      <c r="G56" s="55">
        <v>1</v>
      </c>
      <c r="H56" s="57">
        <f>COUNTIF($D$7:$D$24,"BCO TERISI")</f>
        <v>1</v>
      </c>
      <c r="I56" s="69">
        <f t="shared" si="2"/>
        <v>0</v>
      </c>
      <c r="J56" s="152"/>
      <c r="K56" s="151"/>
    </row>
    <row r="57" spans="1:11" ht="18" customHeight="1">
      <c r="A57" s="4"/>
      <c r="B57" s="73"/>
      <c r="C57" s="73"/>
      <c r="D57" s="73"/>
      <c r="F57" s="53" t="s">
        <v>56</v>
      </c>
      <c r="G57" s="56">
        <f>SUM(G51:G56)</f>
        <v>13</v>
      </c>
      <c r="H57" s="56">
        <f>SUM(H51:H56)</f>
        <v>11</v>
      </c>
      <c r="I57" s="68">
        <f>SUM(I51:I56)</f>
        <v>2</v>
      </c>
      <c r="J57" s="151"/>
      <c r="K57" s="151"/>
    </row>
    <row r="58" spans="1:11" ht="18" customHeight="1">
      <c r="A58" s="4"/>
      <c r="B58" s="4"/>
      <c r="C58" s="4"/>
      <c r="D58" s="4"/>
      <c r="H58" s="58">
        <f>H57/G57</f>
        <v>0.84615384615384615</v>
      </c>
      <c r="I58" s="70">
        <f>I57/G57</f>
        <v>0.15384615384615385</v>
      </c>
      <c r="J58" s="151"/>
      <c r="K58" s="151"/>
    </row>
  </sheetData>
  <mergeCells count="23">
    <mergeCell ref="G48:H48"/>
    <mergeCell ref="G39:H39"/>
    <mergeCell ref="G40:H40"/>
    <mergeCell ref="G41:H41"/>
    <mergeCell ref="G47:H47"/>
    <mergeCell ref="G46:H46"/>
    <mergeCell ref="G44:H44"/>
    <mergeCell ref="G45:H45"/>
    <mergeCell ref="B4:B5"/>
    <mergeCell ref="D4:D5"/>
    <mergeCell ref="F4:F5"/>
    <mergeCell ref="G4:G5"/>
    <mergeCell ref="C4:C5"/>
    <mergeCell ref="F1:K1"/>
    <mergeCell ref="G42:H42"/>
    <mergeCell ref="G43:H43"/>
    <mergeCell ref="F2:K2"/>
    <mergeCell ref="G37:H37"/>
    <mergeCell ref="G38:H38"/>
    <mergeCell ref="H4:H5"/>
    <mergeCell ref="I4:I5"/>
    <mergeCell ref="J4:J5"/>
    <mergeCell ref="K4:K5"/>
  </mergeCells>
  <conditionalFormatting sqref="D4">
    <cfRule type="duplicateValues" dxfId="25" priority="2"/>
  </conditionalFormatting>
  <conditionalFormatting sqref="F4">
    <cfRule type="duplicateValues" dxfId="24" priority="5"/>
  </conditionalFormatting>
  <conditionalFormatting sqref="F7:F24">
    <cfRule type="duplicateValues" dxfId="23" priority="1"/>
  </conditionalFormatting>
  <conditionalFormatting sqref="F24">
    <cfRule type="duplicateValues" dxfId="22" priority="6"/>
  </conditionalFormatting>
  <conditionalFormatting sqref="F38:F47">
    <cfRule type="duplicateValues" dxfId="21" priority="3"/>
  </conditionalFormatting>
  <printOptions horizontalCentered="1"/>
  <pageMargins left="0.28000000000000003" right="0.22" top="0.49" bottom="0.45" header="0.31496062992126" footer="0.31496062992126"/>
  <pageSetup paperSize="9" scale="71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NAD!$B$5:$B$13</xm:f>
          </x14:formula1>
          <xm:sqref>B7:B24</xm:sqref>
        </x14:dataValidation>
        <x14:dataValidation type="list" allowBlank="1" showInputMessage="1" showErrorMessage="1" xr:uid="{00000000-0002-0000-0600-000001000000}">
          <x14:formula1>
            <xm:f>NAD!$D$5:$D$16</xm:f>
          </x14:formula1>
          <xm:sqref>D7:D24</xm:sqref>
        </x14:dataValidation>
        <x14:dataValidation type="list" allowBlank="1" showInputMessage="1" showErrorMessage="1" xr:uid="{E667B252-D4F2-4F10-80FA-DE029D6B4CD0}">
          <x14:formula1>
            <xm:f>NAD!$C$5:$C$10</xm:f>
          </x14:formula1>
          <xm:sqref>C7:C24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K58"/>
  <sheetViews>
    <sheetView showGridLines="0" zoomScale="70" zoomScaleNormal="70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F1" sqref="F1:K21"/>
    </sheetView>
  </sheetViews>
  <sheetFormatPr defaultColWidth="3.5703125" defaultRowHeight="18" customHeight="1"/>
  <cols>
    <col min="1" max="1" width="2.5703125" customWidth="1"/>
    <col min="2" max="2" width="20.5703125" style="33" customWidth="1"/>
    <col min="3" max="4" width="11.5703125" style="33" customWidth="1"/>
    <col min="5" max="5" width="2.5703125" style="28" customWidth="1"/>
    <col min="6" max="6" width="35.5703125" customWidth="1"/>
    <col min="7" max="7" width="10.5703125" customWidth="1"/>
    <col min="8" max="8" width="35.5703125" customWidth="1"/>
    <col min="9" max="9" width="22.140625" style="71" bestFit="1" customWidth="1"/>
    <col min="10" max="10" width="22.140625" style="139" bestFit="1" customWidth="1"/>
    <col min="11" max="11" width="22.140625" style="164" bestFit="1" customWidth="1"/>
    <col min="12" max="16384" width="3.5703125" style="72"/>
  </cols>
  <sheetData>
    <row r="1" spans="1:11" s="30" customFormat="1" ht="24.95" customHeight="1">
      <c r="A1" s="28"/>
      <c r="B1" s="33"/>
      <c r="C1" s="33"/>
      <c r="D1" s="33"/>
      <c r="E1" s="28"/>
      <c r="F1" s="224" t="s">
        <v>365</v>
      </c>
      <c r="G1" s="224"/>
      <c r="H1" s="224"/>
      <c r="I1" s="224"/>
      <c r="J1" s="224"/>
      <c r="K1" s="224"/>
    </row>
    <row r="2" spans="1:11" s="30" customFormat="1" ht="24.95" customHeight="1">
      <c r="A2" s="28"/>
      <c r="B2" s="73"/>
      <c r="C2" s="73"/>
      <c r="D2" s="73"/>
      <c r="E2" s="28"/>
      <c r="F2" s="224" t="s">
        <v>207</v>
      </c>
      <c r="G2" s="224"/>
      <c r="H2" s="224"/>
      <c r="I2" s="224"/>
      <c r="J2" s="224"/>
      <c r="K2" s="224"/>
    </row>
    <row r="3" spans="1:11" s="30" customFormat="1" ht="18" customHeight="1">
      <c r="A3" s="28"/>
      <c r="B3" s="127"/>
      <c r="C3" s="127"/>
      <c r="D3" s="127"/>
      <c r="E3" s="28"/>
      <c r="F3" s="31"/>
      <c r="G3" s="31"/>
      <c r="H3" s="32"/>
      <c r="I3" s="59"/>
      <c r="J3" s="59"/>
      <c r="K3" s="141"/>
    </row>
    <row r="4" spans="1:11" s="30" customFormat="1" ht="20.100000000000001" customHeight="1">
      <c r="A4" s="28"/>
      <c r="B4" s="220" t="s">
        <v>0</v>
      </c>
      <c r="C4" s="220" t="s">
        <v>296</v>
      </c>
      <c r="D4" s="220" t="s">
        <v>1</v>
      </c>
      <c r="E4" s="28"/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1" s="30" customFormat="1" ht="20.100000000000001" customHeight="1">
      <c r="A5" s="28"/>
      <c r="B5" s="221"/>
      <c r="C5" s="221"/>
      <c r="D5" s="221"/>
      <c r="E5" s="28"/>
      <c r="F5" s="223"/>
      <c r="G5" s="223"/>
      <c r="H5" s="223"/>
      <c r="I5" s="226"/>
      <c r="J5" s="228"/>
      <c r="K5" s="228"/>
    </row>
    <row r="6" spans="1:11" s="30" customFormat="1" ht="9.9499999999999993" customHeight="1">
      <c r="A6" s="28" t="s">
        <v>6</v>
      </c>
      <c r="B6" s="33"/>
      <c r="C6" s="33"/>
      <c r="D6" s="33"/>
      <c r="E6" s="28"/>
      <c r="F6" s="28"/>
      <c r="G6" s="28"/>
      <c r="H6" s="34"/>
      <c r="I6" s="29"/>
      <c r="J6" s="29"/>
      <c r="K6" s="142"/>
    </row>
    <row r="7" spans="1:11" s="30" customFormat="1" ht="18" customHeight="1">
      <c r="A7" s="28" t="s">
        <v>6</v>
      </c>
      <c r="B7" s="35" t="s">
        <v>26</v>
      </c>
      <c r="C7" s="35" t="s">
        <v>7</v>
      </c>
      <c r="D7" s="35" t="s">
        <v>8</v>
      </c>
      <c r="E7" s="28"/>
      <c r="F7" s="36" t="s">
        <v>192</v>
      </c>
      <c r="G7" s="36" t="s">
        <v>10</v>
      </c>
      <c r="H7" s="37" t="s">
        <v>193</v>
      </c>
      <c r="I7" s="60">
        <v>90000000</v>
      </c>
      <c r="J7" s="60"/>
      <c r="K7" s="143">
        <f>SUM(I7:J7)</f>
        <v>90000000</v>
      </c>
    </row>
    <row r="8" spans="1:11" s="30" customFormat="1" ht="18" customHeight="1">
      <c r="A8" s="28" t="s">
        <v>6</v>
      </c>
      <c r="B8" s="35" t="s">
        <v>26</v>
      </c>
      <c r="C8" s="35" t="s">
        <v>7</v>
      </c>
      <c r="D8" s="35" t="s">
        <v>8</v>
      </c>
      <c r="E8" s="28"/>
      <c r="F8" s="36" t="s">
        <v>194</v>
      </c>
      <c r="G8" s="77" t="s">
        <v>10</v>
      </c>
      <c r="H8" s="84" t="s">
        <v>195</v>
      </c>
      <c r="I8" s="87">
        <v>80000000</v>
      </c>
      <c r="J8" s="87"/>
      <c r="K8" s="153">
        <f t="shared" ref="K8:K21" si="0">SUM(I8:J8)</f>
        <v>80000000</v>
      </c>
    </row>
    <row r="9" spans="1:11" s="30" customFormat="1" ht="18" customHeight="1">
      <c r="A9" s="28" t="s">
        <v>6</v>
      </c>
      <c r="B9" s="35" t="s">
        <v>26</v>
      </c>
      <c r="C9" s="35" t="s">
        <v>7</v>
      </c>
      <c r="D9" s="35" t="s">
        <v>8</v>
      </c>
      <c r="E9" s="28"/>
      <c r="F9" s="81" t="s">
        <v>200</v>
      </c>
      <c r="G9" s="81" t="s">
        <v>10</v>
      </c>
      <c r="H9" s="82" t="s">
        <v>201</v>
      </c>
      <c r="I9" s="86">
        <v>55000000</v>
      </c>
      <c r="J9" s="86"/>
      <c r="K9" s="149">
        <f>SUM(I9:J9)</f>
        <v>55000000</v>
      </c>
    </row>
    <row r="10" spans="1:11" s="30" customFormat="1" ht="18" customHeight="1">
      <c r="A10" s="28" t="s">
        <v>6</v>
      </c>
      <c r="B10" s="35" t="s">
        <v>27</v>
      </c>
      <c r="C10" s="35" t="s">
        <v>7</v>
      </c>
      <c r="D10" s="35" t="s">
        <v>8</v>
      </c>
      <c r="E10" s="28"/>
      <c r="F10" s="81" t="s">
        <v>202</v>
      </c>
      <c r="G10" s="77" t="s">
        <v>10</v>
      </c>
      <c r="H10" s="84" t="s">
        <v>203</v>
      </c>
      <c r="I10" s="87">
        <v>25000000</v>
      </c>
      <c r="J10" s="87"/>
      <c r="K10" s="153">
        <f>SUM(I10:J10)</f>
        <v>25000000</v>
      </c>
    </row>
    <row r="11" spans="1:11" s="30" customFormat="1" ht="18" customHeight="1">
      <c r="A11" s="28" t="s">
        <v>6</v>
      </c>
      <c r="B11" s="35"/>
      <c r="C11" s="35" t="s">
        <v>7</v>
      </c>
      <c r="D11" s="35" t="s">
        <v>20</v>
      </c>
      <c r="E11" s="28"/>
      <c r="F11" s="80" t="s">
        <v>333</v>
      </c>
      <c r="G11" s="80" t="s">
        <v>17</v>
      </c>
      <c r="H11" s="45" t="s">
        <v>196</v>
      </c>
      <c r="I11" s="63">
        <f>SUM(I7:I10)</f>
        <v>250000000</v>
      </c>
      <c r="J11" s="63">
        <f>SUM(J7:J10)</f>
        <v>0</v>
      </c>
      <c r="K11" s="63">
        <f t="shared" si="0"/>
        <v>250000000</v>
      </c>
    </row>
    <row r="12" spans="1:11" ht="18" customHeight="1">
      <c r="A12" s="28" t="s">
        <v>6</v>
      </c>
      <c r="B12" s="42"/>
      <c r="C12" s="42"/>
      <c r="D12" s="42"/>
      <c r="F12" s="74"/>
      <c r="I12" s="138"/>
      <c r="J12" s="162"/>
      <c r="K12" s="163"/>
    </row>
    <row r="13" spans="1:11" s="30" customFormat="1" ht="18" customHeight="1">
      <c r="A13" s="205" t="s">
        <v>6</v>
      </c>
      <c r="B13" s="35" t="s">
        <v>19</v>
      </c>
      <c r="C13" s="35" t="s">
        <v>19</v>
      </c>
      <c r="D13" s="35" t="s">
        <v>14</v>
      </c>
      <c r="E13" s="76"/>
      <c r="F13" s="81" t="s">
        <v>197</v>
      </c>
      <c r="G13" s="81" t="s">
        <v>10</v>
      </c>
      <c r="H13" s="82" t="s">
        <v>355</v>
      </c>
      <c r="I13" s="86">
        <v>10000000</v>
      </c>
      <c r="J13" s="86"/>
      <c r="K13" s="149">
        <f t="shared" si="0"/>
        <v>10000000</v>
      </c>
    </row>
    <row r="14" spans="1:11" s="30" customFormat="1" ht="18" customHeight="1">
      <c r="A14" s="28" t="s">
        <v>6</v>
      </c>
      <c r="B14" s="35" t="s">
        <v>19</v>
      </c>
      <c r="C14" s="35" t="s">
        <v>19</v>
      </c>
      <c r="D14" s="35" t="s">
        <v>8</v>
      </c>
      <c r="E14" s="28"/>
      <c r="F14" s="88" t="s">
        <v>198</v>
      </c>
      <c r="G14" s="81" t="s">
        <v>10</v>
      </c>
      <c r="H14" s="89" t="s">
        <v>199</v>
      </c>
      <c r="I14" s="91">
        <v>20000000</v>
      </c>
      <c r="J14" s="91"/>
      <c r="K14" s="146">
        <f t="shared" si="0"/>
        <v>20000000</v>
      </c>
    </row>
    <row r="15" spans="1:11" s="30" customFormat="1" ht="18" customHeight="1">
      <c r="A15" s="28" t="s">
        <v>6</v>
      </c>
      <c r="B15" s="35"/>
      <c r="C15" s="35" t="s">
        <v>19</v>
      </c>
      <c r="D15" s="35" t="s">
        <v>15</v>
      </c>
      <c r="E15" s="28"/>
      <c r="F15" s="90" t="s">
        <v>334</v>
      </c>
      <c r="G15" s="90" t="s">
        <v>17</v>
      </c>
      <c r="H15" s="50" t="s">
        <v>331</v>
      </c>
      <c r="I15" s="65">
        <f>SUM(I13:I14)</f>
        <v>30000000</v>
      </c>
      <c r="J15" s="65">
        <f>SUM(J13:J14)</f>
        <v>0</v>
      </c>
      <c r="K15" s="65">
        <f t="shared" si="0"/>
        <v>30000000</v>
      </c>
    </row>
    <row r="16" spans="1:11" ht="18" customHeight="1">
      <c r="A16" s="28" t="s">
        <v>6</v>
      </c>
      <c r="B16" s="35"/>
      <c r="C16" s="35"/>
      <c r="D16" s="35"/>
      <c r="F16" s="74"/>
      <c r="I16" s="138"/>
      <c r="J16" s="162"/>
      <c r="K16" s="163"/>
    </row>
    <row r="17" spans="1:11" s="30" customFormat="1" ht="18" customHeight="1">
      <c r="A17" s="28" t="s">
        <v>6</v>
      </c>
      <c r="B17" s="42" t="s">
        <v>30</v>
      </c>
      <c r="C17" s="42" t="s">
        <v>21</v>
      </c>
      <c r="D17" s="35" t="s">
        <v>20</v>
      </c>
      <c r="E17" s="28"/>
      <c r="F17" s="49" t="s">
        <v>335</v>
      </c>
      <c r="G17" s="49" t="s">
        <v>17</v>
      </c>
      <c r="H17" s="50" t="s">
        <v>204</v>
      </c>
      <c r="I17" s="65">
        <v>55000000</v>
      </c>
      <c r="J17" s="65">
        <v>349000000</v>
      </c>
      <c r="K17" s="65">
        <f t="shared" si="0"/>
        <v>404000000</v>
      </c>
    </row>
    <row r="18" spans="1:11" ht="18" customHeight="1">
      <c r="A18" s="28" t="s">
        <v>6</v>
      </c>
      <c r="B18" s="35"/>
      <c r="C18" s="35"/>
      <c r="D18" s="35"/>
      <c r="F18" s="74"/>
      <c r="I18" s="138"/>
      <c r="J18" s="162"/>
      <c r="K18" s="163"/>
    </row>
    <row r="19" spans="1:11" s="30" customFormat="1" ht="18" customHeight="1">
      <c r="A19" s="28" t="s">
        <v>6</v>
      </c>
      <c r="B19" s="35" t="s">
        <v>33</v>
      </c>
      <c r="C19" s="35" t="s">
        <v>7</v>
      </c>
      <c r="D19" s="35" t="s">
        <v>20</v>
      </c>
      <c r="E19" s="28"/>
      <c r="F19" s="49" t="s">
        <v>205</v>
      </c>
      <c r="G19" s="49" t="s">
        <v>17</v>
      </c>
      <c r="H19" s="50" t="s">
        <v>206</v>
      </c>
      <c r="I19" s="65">
        <v>65000000</v>
      </c>
      <c r="J19" s="65"/>
      <c r="K19" s="65">
        <f t="shared" si="0"/>
        <v>65000000</v>
      </c>
    </row>
    <row r="20" spans="1:11" ht="18" customHeight="1">
      <c r="A20" s="28" t="s">
        <v>6</v>
      </c>
      <c r="B20" s="35"/>
      <c r="C20" s="35"/>
      <c r="D20" s="35"/>
      <c r="F20" s="74"/>
      <c r="I20" s="138"/>
      <c r="J20" s="162"/>
      <c r="K20" s="163"/>
    </row>
    <row r="21" spans="1:11" s="30" customFormat="1" ht="24.95" customHeight="1">
      <c r="A21" s="28" t="s">
        <v>6</v>
      </c>
      <c r="B21" s="35"/>
      <c r="C21" s="35" t="s">
        <v>52</v>
      </c>
      <c r="D21" s="35" t="s">
        <v>31</v>
      </c>
      <c r="E21" s="28"/>
      <c r="F21" s="51" t="s">
        <v>207</v>
      </c>
      <c r="G21" s="51" t="s">
        <v>59</v>
      </c>
      <c r="H21" s="52" t="s">
        <v>379</v>
      </c>
      <c r="I21" s="66">
        <f>I11+I15+I17+I19</f>
        <v>400000000</v>
      </c>
      <c r="J21" s="66">
        <f>J11+J15+J17+J19</f>
        <v>349000000</v>
      </c>
      <c r="K21" s="66">
        <f t="shared" si="0"/>
        <v>749000000</v>
      </c>
    </row>
    <row r="22" spans="1:11" s="30" customFormat="1" ht="18" customHeight="1">
      <c r="A22" s="28"/>
      <c r="B22" s="75"/>
      <c r="C22" s="75"/>
      <c r="D22" s="75"/>
      <c r="E22" s="28"/>
      <c r="F22" s="28"/>
      <c r="G22" s="28"/>
      <c r="H22" s="28"/>
      <c r="I22" s="29"/>
      <c r="J22" s="136"/>
      <c r="K22" s="157"/>
    </row>
    <row r="23" spans="1:11" s="30" customFormat="1" ht="18" customHeight="1">
      <c r="A23" s="28"/>
      <c r="B23" s="75"/>
      <c r="C23" s="75"/>
      <c r="D23" s="75"/>
      <c r="E23" s="28"/>
      <c r="F23" s="28"/>
      <c r="G23" s="28"/>
      <c r="H23" s="28"/>
      <c r="I23" s="29"/>
      <c r="J23" s="136"/>
      <c r="K23" s="157"/>
    </row>
    <row r="24" spans="1:11" s="30" customFormat="1" ht="18" customHeight="1">
      <c r="A24" s="28"/>
      <c r="B24" s="75"/>
      <c r="C24" s="75"/>
      <c r="D24" s="75"/>
      <c r="E24" s="28"/>
      <c r="F24" s="28"/>
      <c r="G24" s="28"/>
      <c r="H24" s="28"/>
      <c r="I24" s="29"/>
      <c r="J24" s="136"/>
      <c r="K24" s="157"/>
    </row>
    <row r="25" spans="1:11" s="30" customFormat="1" ht="18" customHeight="1">
      <c r="A25" s="28"/>
      <c r="B25" s="75"/>
      <c r="C25" s="75"/>
      <c r="D25" s="75"/>
      <c r="E25" s="28"/>
      <c r="F25" s="28"/>
      <c r="G25" s="28"/>
      <c r="H25" s="28"/>
      <c r="I25" s="29"/>
      <c r="J25" s="136"/>
      <c r="K25" s="157"/>
    </row>
    <row r="26" spans="1:11" s="30" customFormat="1" ht="18" customHeight="1">
      <c r="A26" s="28"/>
      <c r="B26" s="75"/>
      <c r="C26" s="75"/>
      <c r="D26" s="75"/>
      <c r="E26" s="28"/>
      <c r="F26" s="28"/>
      <c r="G26" s="28"/>
      <c r="H26" s="28"/>
      <c r="I26" s="29"/>
      <c r="J26" s="136"/>
      <c r="K26" s="157"/>
    </row>
    <row r="27" spans="1:11" s="30" customFormat="1" ht="18" customHeight="1">
      <c r="A27" s="28"/>
      <c r="B27" s="75"/>
      <c r="C27" s="75"/>
      <c r="D27" s="75"/>
      <c r="E27" s="28"/>
      <c r="F27" s="28"/>
      <c r="G27" s="28"/>
      <c r="H27" s="28"/>
      <c r="I27" s="29"/>
      <c r="J27" s="136"/>
      <c r="K27" s="157"/>
    </row>
    <row r="28" spans="1:11" s="30" customFormat="1" ht="18" customHeight="1">
      <c r="A28" s="28"/>
      <c r="B28" s="75"/>
      <c r="C28" s="75"/>
      <c r="D28" s="75"/>
      <c r="E28" s="28"/>
      <c r="F28" s="28"/>
      <c r="G28" s="28"/>
      <c r="H28" s="28"/>
      <c r="I28" s="29"/>
      <c r="J28" s="136"/>
      <c r="K28" s="157"/>
    </row>
    <row r="29" spans="1:11" s="30" customFormat="1" ht="18" customHeight="1">
      <c r="A29" s="28"/>
      <c r="B29" s="75"/>
      <c r="C29" s="75"/>
      <c r="D29" s="75"/>
      <c r="E29" s="28"/>
      <c r="F29" s="28"/>
      <c r="G29" s="28"/>
      <c r="H29" s="28"/>
      <c r="I29" s="29"/>
      <c r="J29" s="136"/>
      <c r="K29" s="157"/>
    </row>
    <row r="30" spans="1:11" s="30" customFormat="1" ht="18" customHeight="1">
      <c r="A30" s="28"/>
      <c r="B30" s="75"/>
      <c r="C30" s="75"/>
      <c r="D30" s="75"/>
      <c r="E30" s="28"/>
      <c r="F30" s="28"/>
      <c r="G30" s="28"/>
      <c r="H30" s="28"/>
      <c r="I30" s="29"/>
      <c r="J30" s="136"/>
      <c r="K30" s="157"/>
    </row>
    <row r="31" spans="1:11" s="30" customFormat="1" ht="18" customHeight="1">
      <c r="A31" s="28"/>
      <c r="B31" s="75"/>
      <c r="C31" s="75"/>
      <c r="D31" s="75"/>
      <c r="E31" s="28"/>
      <c r="F31" s="28"/>
      <c r="G31" s="28"/>
      <c r="H31" s="28"/>
      <c r="I31" s="29"/>
      <c r="J31" s="136"/>
      <c r="K31" s="157"/>
    </row>
    <row r="32" spans="1:11" s="30" customFormat="1" ht="18" customHeight="1">
      <c r="A32" s="28"/>
      <c r="B32" s="75"/>
      <c r="C32" s="75"/>
      <c r="D32" s="75"/>
      <c r="E32" s="28"/>
      <c r="F32" s="28"/>
      <c r="G32" s="28"/>
      <c r="H32" s="28"/>
      <c r="I32" s="29"/>
      <c r="J32" s="136"/>
      <c r="K32" s="157"/>
    </row>
    <row r="33" spans="1:11" s="30" customFormat="1" ht="18" customHeight="1">
      <c r="A33" s="28"/>
      <c r="B33" s="75"/>
      <c r="C33" s="75"/>
      <c r="D33" s="75"/>
      <c r="E33" s="28"/>
      <c r="F33" s="28"/>
      <c r="G33" s="28"/>
      <c r="H33" s="28"/>
      <c r="I33" s="29"/>
      <c r="J33" s="136"/>
      <c r="K33" s="157"/>
    </row>
    <row r="34" spans="1:11" s="30" customFormat="1" ht="18" customHeight="1">
      <c r="A34" s="28"/>
      <c r="B34" s="75"/>
      <c r="C34" s="75"/>
      <c r="D34" s="75"/>
      <c r="E34" s="28"/>
      <c r="F34" s="28"/>
      <c r="G34" s="28"/>
      <c r="H34" s="28"/>
      <c r="I34" s="29"/>
      <c r="J34" s="136"/>
      <c r="K34" s="157"/>
    </row>
    <row r="35" spans="1:11" s="30" customFormat="1" ht="18" customHeight="1">
      <c r="A35" s="28"/>
      <c r="B35" s="75"/>
      <c r="C35" s="75"/>
      <c r="D35" s="75"/>
      <c r="E35" s="28"/>
      <c r="F35" s="28"/>
      <c r="G35" s="28"/>
      <c r="H35" s="28"/>
      <c r="I35" s="29"/>
      <c r="J35" s="136"/>
      <c r="K35" s="157"/>
    </row>
    <row r="36" spans="1:11" s="30" customFormat="1" ht="18" customHeight="1">
      <c r="A36" s="28"/>
      <c r="B36" s="75"/>
      <c r="C36" s="75"/>
      <c r="D36" s="75"/>
      <c r="E36" s="28"/>
      <c r="F36" s="28"/>
      <c r="G36" s="28"/>
      <c r="H36" s="28"/>
      <c r="I36" s="29"/>
      <c r="J36" s="136"/>
      <c r="K36" s="157"/>
    </row>
    <row r="37" spans="1:11" s="27" customFormat="1" ht="18" customHeight="1">
      <c r="A37" s="2"/>
      <c r="B37" s="73"/>
      <c r="C37" s="73"/>
      <c r="D37" s="73"/>
      <c r="E37" s="28"/>
      <c r="F37" s="53" t="s">
        <v>54</v>
      </c>
      <c r="G37" s="229" t="s">
        <v>55</v>
      </c>
      <c r="H37" s="229"/>
      <c r="I37" s="67" t="s">
        <v>5</v>
      </c>
      <c r="J37" s="137"/>
      <c r="K37" s="137"/>
    </row>
    <row r="38" spans="1:11" s="30" customFormat="1" ht="18" customHeight="1">
      <c r="A38" s="4"/>
      <c r="B38" s="73"/>
      <c r="C38" s="73"/>
      <c r="D38" s="73"/>
      <c r="E38" s="28"/>
      <c r="F38" s="54" t="s">
        <v>7</v>
      </c>
      <c r="G38" s="230">
        <f>COUNTIF($B$7:$B$21,"UTM")</f>
        <v>0</v>
      </c>
      <c r="H38" s="230"/>
      <c r="I38" s="67">
        <f t="shared" ref="I38:I46" si="1">SUMIFS($K$7:$K$21,$B$7:$B$21,F38)</f>
        <v>0</v>
      </c>
      <c r="J38" s="137"/>
      <c r="K38" s="137"/>
    </row>
    <row r="39" spans="1:11" s="30" customFormat="1" ht="18" customHeight="1">
      <c r="A39" s="4"/>
      <c r="B39" s="73"/>
      <c r="C39" s="73"/>
      <c r="D39" s="73"/>
      <c r="E39" s="28"/>
      <c r="F39" s="54" t="s">
        <v>13</v>
      </c>
      <c r="G39" s="230">
        <f>COUNTIF($B$7:$B$21,"SPM")</f>
        <v>0</v>
      </c>
      <c r="H39" s="230"/>
      <c r="I39" s="67">
        <f t="shared" si="1"/>
        <v>0</v>
      </c>
      <c r="J39" s="137"/>
      <c r="K39" s="137"/>
    </row>
    <row r="40" spans="1:11" s="30" customFormat="1" ht="18" customHeight="1">
      <c r="A40" s="4"/>
      <c r="B40" s="73"/>
      <c r="C40" s="73"/>
      <c r="D40" s="73"/>
      <c r="E40" s="28"/>
      <c r="F40" s="54" t="s">
        <v>19</v>
      </c>
      <c r="G40" s="230">
        <f>COUNTIF($B$7:$B$21,"PMT")</f>
        <v>2</v>
      </c>
      <c r="H40" s="230"/>
      <c r="I40" s="67">
        <f t="shared" si="1"/>
        <v>30000000</v>
      </c>
      <c r="J40" s="137"/>
      <c r="K40" s="137"/>
    </row>
    <row r="41" spans="1:11" s="30" customFormat="1" ht="18" customHeight="1">
      <c r="A41" s="4"/>
      <c r="B41" s="73"/>
      <c r="C41" s="73"/>
      <c r="D41" s="73"/>
      <c r="E41" s="28"/>
      <c r="F41" s="54" t="s">
        <v>21</v>
      </c>
      <c r="G41" s="230">
        <f>COUNTIF($B$7:$B$21,"PRM")</f>
        <v>0</v>
      </c>
      <c r="H41" s="230"/>
      <c r="I41" s="67">
        <f>I17</f>
        <v>55000000</v>
      </c>
      <c r="J41" s="137"/>
      <c r="K41" s="137"/>
    </row>
    <row r="42" spans="1:11" s="30" customFormat="1" ht="18" customHeight="1">
      <c r="A42" s="4"/>
      <c r="B42" s="73"/>
      <c r="C42" s="73"/>
      <c r="D42" s="73"/>
      <c r="E42" s="28"/>
      <c r="F42" s="54" t="s">
        <v>26</v>
      </c>
      <c r="G42" s="230">
        <f>COUNTIF($B$7:$B$21,"COMBO UTM-SPM")</f>
        <v>3</v>
      </c>
      <c r="H42" s="230"/>
      <c r="I42" s="67">
        <f t="shared" si="1"/>
        <v>225000000</v>
      </c>
      <c r="J42" s="137"/>
      <c r="K42" s="137"/>
    </row>
    <row r="43" spans="1:11" s="30" customFormat="1" ht="18" customHeight="1">
      <c r="A43" s="4"/>
      <c r="B43" s="73"/>
      <c r="C43" s="73"/>
      <c r="D43" s="73"/>
      <c r="E43" s="28"/>
      <c r="F43" s="54" t="s">
        <v>27</v>
      </c>
      <c r="G43" s="230">
        <f>COUNTIF($B$7:$B$21,"COMBO UTM-SPM-PMT")</f>
        <v>1</v>
      </c>
      <c r="H43" s="230"/>
      <c r="I43" s="67">
        <f t="shared" si="1"/>
        <v>25000000</v>
      </c>
      <c r="J43" s="137"/>
      <c r="K43" s="137"/>
    </row>
    <row r="44" spans="1:11" s="30" customFormat="1" ht="18" customHeight="1">
      <c r="A44" s="4"/>
      <c r="B44" s="73"/>
      <c r="C44" s="73"/>
      <c r="D44" s="73"/>
      <c r="E44" s="28"/>
      <c r="F44" s="54" t="s">
        <v>29</v>
      </c>
      <c r="G44" s="230">
        <f>COUNTIF($B$7:$B$21,"COMBO UTM-SPM-PRM-PNC")</f>
        <v>0</v>
      </c>
      <c r="H44" s="230"/>
      <c r="I44" s="67">
        <f t="shared" si="1"/>
        <v>0</v>
      </c>
      <c r="J44" s="137"/>
      <c r="K44" s="137"/>
    </row>
    <row r="45" spans="1:11" s="30" customFormat="1" ht="18" customHeight="1">
      <c r="A45" s="4"/>
      <c r="B45" s="73"/>
      <c r="C45" s="73"/>
      <c r="D45" s="73"/>
      <c r="E45" s="28"/>
      <c r="F45" s="54" t="s">
        <v>30</v>
      </c>
      <c r="G45" s="230">
        <f>COUNTIF($B$7:$B$21,"COMBO PRM-PNC")</f>
        <v>1</v>
      </c>
      <c r="H45" s="230"/>
      <c r="I45" s="67">
        <v>0</v>
      </c>
      <c r="J45" s="137"/>
      <c r="K45" s="137"/>
    </row>
    <row r="46" spans="1:11" s="30" customFormat="1" ht="18" customHeight="1">
      <c r="A46" s="4"/>
      <c r="B46" s="73"/>
      <c r="C46" s="73"/>
      <c r="D46" s="73"/>
      <c r="E46" s="28"/>
      <c r="F46" s="54" t="s">
        <v>33</v>
      </c>
      <c r="G46" s="230">
        <f>COUNTIF($B$7:$B$21,"COMBO ALL DIV")</f>
        <v>1</v>
      </c>
      <c r="H46" s="230"/>
      <c r="I46" s="67">
        <f t="shared" si="1"/>
        <v>65000000</v>
      </c>
      <c r="J46" s="137"/>
      <c r="K46" s="137"/>
    </row>
    <row r="47" spans="1:11" s="30" customFormat="1" ht="18" customHeight="1">
      <c r="A47" s="4"/>
      <c r="B47" s="73"/>
      <c r="C47" s="73"/>
      <c r="D47" s="73"/>
      <c r="E47" s="28"/>
      <c r="F47" s="54" t="s">
        <v>23</v>
      </c>
      <c r="G47" s="230">
        <f>COUNTIF($B$7:$B$21,"PNC")</f>
        <v>0</v>
      </c>
      <c r="H47" s="230"/>
      <c r="I47" s="67">
        <f>J17</f>
        <v>349000000</v>
      </c>
      <c r="J47" s="137"/>
      <c r="K47" s="137"/>
    </row>
    <row r="48" spans="1:11" s="30" customFormat="1" ht="18" customHeight="1">
      <c r="A48" s="4"/>
      <c r="B48" s="73"/>
      <c r="C48" s="73"/>
      <c r="D48" s="73"/>
      <c r="E48" s="28"/>
      <c r="F48" s="53" t="s">
        <v>56</v>
      </c>
      <c r="G48" s="231">
        <f>SUM(G38:H47)</f>
        <v>8</v>
      </c>
      <c r="H48" s="231"/>
      <c r="I48" s="67">
        <f>SUM(I38:I47)</f>
        <v>749000000</v>
      </c>
      <c r="J48" s="137"/>
      <c r="K48" s="137"/>
    </row>
    <row r="49" spans="1:11" s="30" customFormat="1" ht="18" customHeight="1">
      <c r="A49" s="28"/>
      <c r="B49" s="73"/>
      <c r="C49" s="73"/>
      <c r="D49" s="73"/>
      <c r="E49" s="28"/>
      <c r="F49" s="28"/>
      <c r="G49" s="28"/>
      <c r="H49" s="28"/>
      <c r="I49" s="29"/>
      <c r="J49" s="136"/>
      <c r="K49" s="157"/>
    </row>
    <row r="50" spans="1:11" s="27" customFormat="1" ht="18" customHeight="1">
      <c r="A50" s="2"/>
      <c r="B50" s="73"/>
      <c r="C50" s="73"/>
      <c r="D50" s="73"/>
      <c r="E50" s="28"/>
      <c r="F50" s="53" t="s">
        <v>3</v>
      </c>
      <c r="G50" s="56" t="s">
        <v>56</v>
      </c>
      <c r="H50" s="56" t="s">
        <v>57</v>
      </c>
      <c r="I50" s="68" t="s">
        <v>58</v>
      </c>
      <c r="J50" s="151"/>
      <c r="K50" s="151"/>
    </row>
    <row r="51" spans="1:11" s="30" customFormat="1" ht="18" customHeight="1">
      <c r="A51" s="4"/>
      <c r="B51" s="73"/>
      <c r="C51" s="73"/>
      <c r="D51" s="73"/>
      <c r="E51" s="28"/>
      <c r="F51" s="54" t="s">
        <v>10</v>
      </c>
      <c r="G51" s="55">
        <f>COUNTIF($G$7:$G$21,"PS")</f>
        <v>6</v>
      </c>
      <c r="H51" s="57">
        <f>COUNTIF($D$7:$D$21,"PS TERISI")</f>
        <v>5</v>
      </c>
      <c r="I51" s="69">
        <f t="shared" ref="I51:I56" si="2">G51-H51</f>
        <v>1</v>
      </c>
      <c r="J51" s="152"/>
      <c r="K51" s="151"/>
    </row>
    <row r="52" spans="1:11" s="30" customFormat="1" ht="18" customHeight="1">
      <c r="A52" s="4"/>
      <c r="B52" s="73"/>
      <c r="C52" s="73"/>
      <c r="D52" s="73"/>
      <c r="E52" s="28"/>
      <c r="F52" s="54" t="s">
        <v>100</v>
      </c>
      <c r="G52" s="55">
        <f>COUNTIF($G$7:$G$21,"AE")</f>
        <v>0</v>
      </c>
      <c r="H52" s="57">
        <f>COUNTIF($D$7:$D$21,"AE TERISI")</f>
        <v>0</v>
      </c>
      <c r="I52" s="69">
        <f t="shared" si="2"/>
        <v>0</v>
      </c>
      <c r="J52" s="152"/>
      <c r="K52" s="151"/>
    </row>
    <row r="53" spans="1:11" s="30" customFormat="1" ht="18" customHeight="1">
      <c r="A53" s="4"/>
      <c r="B53" s="73"/>
      <c r="C53" s="73"/>
      <c r="D53" s="73"/>
      <c r="E53" s="28"/>
      <c r="F53" s="54" t="s">
        <v>49</v>
      </c>
      <c r="G53" s="55">
        <f>COUNTIF($G$7:$G$21,"AM")</f>
        <v>0</v>
      </c>
      <c r="H53" s="57">
        <f>COUNTIF($D$7:$D$21,"AM TERISI")</f>
        <v>0</v>
      </c>
      <c r="I53" s="69">
        <f t="shared" si="2"/>
        <v>0</v>
      </c>
      <c r="J53" s="152"/>
      <c r="K53" s="151"/>
    </row>
    <row r="54" spans="1:11" s="30" customFormat="1" ht="18" customHeight="1">
      <c r="A54" s="4"/>
      <c r="B54" s="73"/>
      <c r="C54" s="73"/>
      <c r="D54" s="73"/>
      <c r="E54" s="28"/>
      <c r="F54" s="54" t="s">
        <v>17</v>
      </c>
      <c r="G54" s="55">
        <f>COUNTIF($G$7:$G$21,"DM")</f>
        <v>4</v>
      </c>
      <c r="H54" s="57">
        <f>COUNTIF($D$7:$D$21,"DM TERISI")</f>
        <v>3</v>
      </c>
      <c r="I54" s="69">
        <f t="shared" si="2"/>
        <v>1</v>
      </c>
      <c r="J54" s="152"/>
      <c r="K54" s="151"/>
    </row>
    <row r="55" spans="1:11" s="30" customFormat="1" ht="18" customHeight="1">
      <c r="A55" s="4"/>
      <c r="B55" s="73"/>
      <c r="C55" s="73"/>
      <c r="D55" s="73"/>
      <c r="E55" s="28"/>
      <c r="F55" s="54" t="s">
        <v>32</v>
      </c>
      <c r="G55" s="55">
        <f>COUNTIF($G$7:$G$21,"RSM")</f>
        <v>0</v>
      </c>
      <c r="H55" s="57">
        <f>COUNTIF($D$7:$D$21,"RSM TERISI")</f>
        <v>0</v>
      </c>
      <c r="I55" s="69">
        <f t="shared" si="2"/>
        <v>0</v>
      </c>
      <c r="J55" s="152"/>
      <c r="K55" s="151"/>
    </row>
    <row r="56" spans="1:11" s="30" customFormat="1" ht="18" customHeight="1">
      <c r="A56" s="4"/>
      <c r="B56" s="73"/>
      <c r="C56" s="73"/>
      <c r="D56" s="73"/>
      <c r="E56" s="28"/>
      <c r="F56" s="54" t="s">
        <v>52</v>
      </c>
      <c r="G56" s="55">
        <v>1</v>
      </c>
      <c r="H56" s="57">
        <f>COUNTIF($D$7:$D$21,"BCO TERISI")</f>
        <v>1</v>
      </c>
      <c r="I56" s="69">
        <f t="shared" si="2"/>
        <v>0</v>
      </c>
      <c r="J56" s="152"/>
      <c r="K56" s="151"/>
    </row>
    <row r="57" spans="1:11" s="30" customFormat="1" ht="18" customHeight="1">
      <c r="A57" s="4"/>
      <c r="B57" s="73"/>
      <c r="C57" s="73"/>
      <c r="D57" s="73"/>
      <c r="E57" s="28"/>
      <c r="F57" s="53" t="s">
        <v>56</v>
      </c>
      <c r="G57" s="56">
        <f>SUM(G51:G56)</f>
        <v>11</v>
      </c>
      <c r="H57" s="56">
        <f>SUM(H51:H56)</f>
        <v>9</v>
      </c>
      <c r="I57" s="68">
        <f>SUM(I51:I56)</f>
        <v>2</v>
      </c>
      <c r="J57" s="151"/>
      <c r="K57" s="151"/>
    </row>
    <row r="58" spans="1:11" s="30" customFormat="1" ht="18" customHeight="1">
      <c r="A58" s="4"/>
      <c r="B58" s="4"/>
      <c r="C58" s="4"/>
      <c r="D58" s="4"/>
      <c r="E58" s="28"/>
      <c r="F58" s="28"/>
      <c r="G58" s="28"/>
      <c r="H58" s="58">
        <f>H57/G57</f>
        <v>0.81818181818181823</v>
      </c>
      <c r="I58" s="70">
        <f>I57/G57</f>
        <v>0.18181818181818182</v>
      </c>
      <c r="J58" s="151"/>
      <c r="K58" s="151"/>
    </row>
  </sheetData>
  <mergeCells count="23">
    <mergeCell ref="G48:H48"/>
    <mergeCell ref="G39:H39"/>
    <mergeCell ref="G40:H40"/>
    <mergeCell ref="G41:H41"/>
    <mergeCell ref="G47:H47"/>
    <mergeCell ref="G46:H46"/>
    <mergeCell ref="G44:H44"/>
    <mergeCell ref="G45:H45"/>
    <mergeCell ref="B4:B5"/>
    <mergeCell ref="D4:D5"/>
    <mergeCell ref="F4:F5"/>
    <mergeCell ref="G4:G5"/>
    <mergeCell ref="C4:C5"/>
    <mergeCell ref="F1:K1"/>
    <mergeCell ref="G42:H42"/>
    <mergeCell ref="G43:H43"/>
    <mergeCell ref="F2:K2"/>
    <mergeCell ref="G37:H37"/>
    <mergeCell ref="G38:H38"/>
    <mergeCell ref="H4:H5"/>
    <mergeCell ref="I4:I5"/>
    <mergeCell ref="J4:J5"/>
    <mergeCell ref="K4:K5"/>
  </mergeCells>
  <conditionalFormatting sqref="D4">
    <cfRule type="duplicateValues" dxfId="20" priority="2"/>
  </conditionalFormatting>
  <conditionalFormatting sqref="F4">
    <cfRule type="duplicateValues" dxfId="19" priority="5"/>
  </conditionalFormatting>
  <conditionalFormatting sqref="F7:F21">
    <cfRule type="duplicateValues" dxfId="18" priority="1"/>
  </conditionalFormatting>
  <conditionalFormatting sqref="F21">
    <cfRule type="duplicateValues" dxfId="17" priority="6"/>
  </conditionalFormatting>
  <conditionalFormatting sqref="F38:F47">
    <cfRule type="duplicateValues" dxfId="16" priority="3"/>
  </conditionalFormatting>
  <printOptions horizontalCentered="1"/>
  <pageMargins left="0.23622047244094499" right="0.196850393700787" top="0.43307086614173201" bottom="0.39370078740157499" header="0.31496062992126" footer="0.31496062992126"/>
  <pageSetup paperSize="9" scale="72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NAD!$B$5:$B$13</xm:f>
          </x14:formula1>
          <xm:sqref>B7:B21</xm:sqref>
        </x14:dataValidation>
        <x14:dataValidation type="list" allowBlank="1" showInputMessage="1" showErrorMessage="1" xr:uid="{00000000-0002-0000-0700-000001000000}">
          <x14:formula1>
            <xm:f>NAD!$D$5:$D$16</xm:f>
          </x14:formula1>
          <xm:sqref>D7:D21</xm:sqref>
        </x14:dataValidation>
        <x14:dataValidation type="list" allowBlank="1" showInputMessage="1" showErrorMessage="1" xr:uid="{D972DF11-8E99-4685-83A9-064B5B0EFCC3}">
          <x14:formula1>
            <xm:f>NAD!$C$5:$C$10</xm:f>
          </x14:formula1>
          <xm:sqref>C7:C21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K58"/>
  <sheetViews>
    <sheetView showGridLines="0" zoomScale="70" zoomScaleNormal="7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F1" sqref="F1:K29"/>
    </sheetView>
  </sheetViews>
  <sheetFormatPr defaultColWidth="3.5703125" defaultRowHeight="18" customHeight="1"/>
  <cols>
    <col min="1" max="1" width="2.5703125" customWidth="1"/>
    <col min="2" max="2" width="20.5703125" style="33" customWidth="1"/>
    <col min="3" max="4" width="11.5703125" style="33" customWidth="1"/>
    <col min="5" max="5" width="2.5703125" style="28" customWidth="1"/>
    <col min="6" max="6" width="35.5703125" customWidth="1"/>
    <col min="7" max="7" width="10.5703125" customWidth="1"/>
    <col min="8" max="8" width="40.28515625" bestFit="1" customWidth="1"/>
    <col min="9" max="9" width="22.140625" style="71" customWidth="1"/>
    <col min="10" max="10" width="22.140625" style="139" customWidth="1"/>
    <col min="11" max="11" width="23.85546875" style="164" customWidth="1"/>
    <col min="12" max="16384" width="3.5703125" style="72"/>
  </cols>
  <sheetData>
    <row r="1" spans="1:11" s="30" customFormat="1" ht="24.95" customHeight="1">
      <c r="A1" s="28"/>
      <c r="B1" s="33"/>
      <c r="C1" s="33"/>
      <c r="D1" s="33"/>
      <c r="E1" s="28"/>
      <c r="F1" s="224" t="s">
        <v>365</v>
      </c>
      <c r="G1" s="224"/>
      <c r="H1" s="224"/>
      <c r="I1" s="224"/>
      <c r="J1" s="224"/>
      <c r="K1" s="224"/>
    </row>
    <row r="2" spans="1:11" s="30" customFormat="1" ht="24.95" customHeight="1">
      <c r="A2" s="28"/>
      <c r="B2" s="73"/>
      <c r="C2" s="73"/>
      <c r="D2" s="73"/>
      <c r="E2" s="28"/>
      <c r="F2" s="224" t="s">
        <v>230</v>
      </c>
      <c r="G2" s="224"/>
      <c r="H2" s="224"/>
      <c r="I2" s="224"/>
      <c r="J2" s="224"/>
      <c r="K2" s="224"/>
    </row>
    <row r="3" spans="1:11" s="30" customFormat="1" ht="18" customHeight="1">
      <c r="A3" s="28"/>
      <c r="B3" s="127"/>
      <c r="C3" s="127"/>
      <c r="D3" s="127"/>
      <c r="E3" s="28"/>
      <c r="F3" s="31"/>
      <c r="G3" s="31"/>
      <c r="H3" s="32"/>
      <c r="I3" s="59"/>
      <c r="J3" s="59"/>
      <c r="K3" s="141"/>
    </row>
    <row r="4" spans="1:11" s="30" customFormat="1" ht="20.100000000000001" customHeight="1">
      <c r="A4" s="28"/>
      <c r="B4" s="220" t="s">
        <v>0</v>
      </c>
      <c r="C4" s="220" t="s">
        <v>296</v>
      </c>
      <c r="D4" s="220" t="s">
        <v>1</v>
      </c>
      <c r="E4" s="28"/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1" s="30" customFormat="1" ht="20.100000000000001" customHeight="1">
      <c r="A5" s="28"/>
      <c r="B5" s="221"/>
      <c r="C5" s="221"/>
      <c r="D5" s="221"/>
      <c r="E5" s="28"/>
      <c r="F5" s="223"/>
      <c r="G5" s="223"/>
      <c r="H5" s="223"/>
      <c r="I5" s="226"/>
      <c r="J5" s="228"/>
      <c r="K5" s="228"/>
    </row>
    <row r="6" spans="1:11" s="30" customFormat="1" ht="9.9499999999999993" customHeight="1">
      <c r="A6" s="28" t="s">
        <v>6</v>
      </c>
      <c r="B6" s="33"/>
      <c r="C6" s="33"/>
      <c r="D6" s="33"/>
      <c r="E6" s="28"/>
      <c r="F6" s="28"/>
      <c r="G6" s="28"/>
      <c r="H6" s="34"/>
      <c r="I6" s="29"/>
      <c r="J6" s="29"/>
      <c r="K6" s="142"/>
    </row>
    <row r="7" spans="1:11" s="30" customFormat="1" ht="18" customHeight="1">
      <c r="A7" s="28" t="s">
        <v>6</v>
      </c>
      <c r="B7" s="35" t="s">
        <v>7</v>
      </c>
      <c r="C7" s="35" t="s">
        <v>7</v>
      </c>
      <c r="D7" s="35" t="s">
        <v>8</v>
      </c>
      <c r="E7" s="28"/>
      <c r="F7" s="77" t="s">
        <v>208</v>
      </c>
      <c r="G7" s="36" t="s">
        <v>10</v>
      </c>
      <c r="H7" s="78" t="s">
        <v>209</v>
      </c>
      <c r="I7" s="85">
        <v>105000000</v>
      </c>
      <c r="J7" s="85"/>
      <c r="K7" s="161">
        <f>SUM(I7:J7)</f>
        <v>105000000</v>
      </c>
    </row>
    <row r="8" spans="1:11" s="30" customFormat="1" ht="18" customHeight="1">
      <c r="A8" s="28" t="s">
        <v>6</v>
      </c>
      <c r="B8" s="35" t="s">
        <v>7</v>
      </c>
      <c r="C8" s="35" t="s">
        <v>7</v>
      </c>
      <c r="D8" s="35" t="s">
        <v>8</v>
      </c>
      <c r="E8" s="28"/>
      <c r="F8" s="77" t="s">
        <v>210</v>
      </c>
      <c r="G8" s="36" t="s">
        <v>10</v>
      </c>
      <c r="H8" s="78" t="s">
        <v>211</v>
      </c>
      <c r="I8" s="85">
        <v>130000000</v>
      </c>
      <c r="J8" s="85"/>
      <c r="K8" s="161">
        <f t="shared" ref="K8:K29" si="0">SUM(I8:J8)</f>
        <v>130000000</v>
      </c>
    </row>
    <row r="9" spans="1:11" s="30" customFormat="1" ht="18" customHeight="1">
      <c r="A9" s="28" t="s">
        <v>6</v>
      </c>
      <c r="B9" s="35" t="s">
        <v>7</v>
      </c>
      <c r="C9" s="35" t="s">
        <v>7</v>
      </c>
      <c r="D9" s="35" t="s">
        <v>8</v>
      </c>
      <c r="E9" s="28"/>
      <c r="F9" s="79" t="s">
        <v>212</v>
      </c>
      <c r="G9" s="79" t="s">
        <v>10</v>
      </c>
      <c r="H9" s="78" t="s">
        <v>213</v>
      </c>
      <c r="I9" s="85">
        <v>80000000</v>
      </c>
      <c r="J9" s="85"/>
      <c r="K9" s="161">
        <f t="shared" si="0"/>
        <v>80000000</v>
      </c>
    </row>
    <row r="10" spans="1:11" s="30" customFormat="1" ht="18" customHeight="1">
      <c r="A10" s="28" t="s">
        <v>6</v>
      </c>
      <c r="B10" s="35" t="s">
        <v>7</v>
      </c>
      <c r="C10" s="35" t="s">
        <v>7</v>
      </c>
      <c r="D10" s="35" t="s">
        <v>8</v>
      </c>
      <c r="E10" s="28"/>
      <c r="F10" s="79" t="s">
        <v>302</v>
      </c>
      <c r="G10" s="79" t="s">
        <v>10</v>
      </c>
      <c r="H10" s="78" t="s">
        <v>214</v>
      </c>
      <c r="I10" s="85">
        <v>110000000</v>
      </c>
      <c r="J10" s="85"/>
      <c r="K10" s="161">
        <f t="shared" si="0"/>
        <v>110000000</v>
      </c>
    </row>
    <row r="11" spans="1:11" s="30" customFormat="1" ht="18" customHeight="1">
      <c r="A11" s="28" t="s">
        <v>6</v>
      </c>
      <c r="B11" s="35"/>
      <c r="C11" s="35" t="s">
        <v>7</v>
      </c>
      <c r="D11" s="35" t="s">
        <v>20</v>
      </c>
      <c r="E11" s="28"/>
      <c r="F11" s="80" t="s">
        <v>303</v>
      </c>
      <c r="G11" s="80" t="s">
        <v>17</v>
      </c>
      <c r="H11" s="50" t="s">
        <v>215</v>
      </c>
      <c r="I11" s="65">
        <f>SUM(I7:I10)</f>
        <v>425000000</v>
      </c>
      <c r="J11" s="65">
        <f>SUM(J7:J10)</f>
        <v>0</v>
      </c>
      <c r="K11" s="65">
        <f t="shared" si="0"/>
        <v>425000000</v>
      </c>
    </row>
    <row r="12" spans="1:11" ht="18" customHeight="1">
      <c r="A12" s="28" t="s">
        <v>6</v>
      </c>
      <c r="B12" s="35"/>
      <c r="C12" s="35"/>
      <c r="D12" s="35"/>
      <c r="F12" s="74"/>
      <c r="I12" s="138"/>
      <c r="J12" s="162"/>
      <c r="K12" s="163"/>
    </row>
    <row r="13" spans="1:11" s="30" customFormat="1" ht="18" customHeight="1">
      <c r="A13" s="28" t="s">
        <v>6</v>
      </c>
      <c r="B13" s="35" t="s">
        <v>13</v>
      </c>
      <c r="C13" s="35" t="s">
        <v>13</v>
      </c>
      <c r="D13" s="35" t="s">
        <v>14</v>
      </c>
      <c r="E13" s="28"/>
      <c r="F13" s="81" t="s">
        <v>216</v>
      </c>
      <c r="G13" s="81" t="s">
        <v>10</v>
      </c>
      <c r="H13" s="82" t="s">
        <v>217</v>
      </c>
      <c r="I13" s="86">
        <v>60000000</v>
      </c>
      <c r="J13" s="86"/>
      <c r="K13" s="149">
        <f t="shared" si="0"/>
        <v>60000000</v>
      </c>
    </row>
    <row r="14" spans="1:11" s="30" customFormat="1" ht="18" customHeight="1">
      <c r="A14" s="28" t="s">
        <v>6</v>
      </c>
      <c r="B14" s="35" t="s">
        <v>13</v>
      </c>
      <c r="C14" s="35" t="s">
        <v>13</v>
      </c>
      <c r="D14" s="35" t="s">
        <v>8</v>
      </c>
      <c r="E14" s="28"/>
      <c r="F14" s="81" t="s">
        <v>218</v>
      </c>
      <c r="G14" s="81" t="s">
        <v>10</v>
      </c>
      <c r="H14" s="218" t="s">
        <v>364</v>
      </c>
      <c r="I14" s="86">
        <v>60000000</v>
      </c>
      <c r="J14" s="86"/>
      <c r="K14" s="149">
        <f t="shared" si="0"/>
        <v>60000000</v>
      </c>
    </row>
    <row r="15" spans="1:11" s="30" customFormat="1" ht="18" customHeight="1">
      <c r="A15" s="28" t="s">
        <v>6</v>
      </c>
      <c r="B15" s="35"/>
      <c r="C15" s="35" t="s">
        <v>13</v>
      </c>
      <c r="D15" s="35" t="s">
        <v>15</v>
      </c>
      <c r="E15" s="28"/>
      <c r="F15" s="80" t="s">
        <v>336</v>
      </c>
      <c r="G15" s="49" t="s">
        <v>17</v>
      </c>
      <c r="H15" s="50" t="s">
        <v>219</v>
      </c>
      <c r="I15" s="65">
        <f>SUM(I13:I14)</f>
        <v>120000000</v>
      </c>
      <c r="J15" s="65">
        <f>SUM(J13:J14)</f>
        <v>0</v>
      </c>
      <c r="K15" s="65">
        <f t="shared" si="0"/>
        <v>120000000</v>
      </c>
    </row>
    <row r="16" spans="1:11" ht="18" customHeight="1">
      <c r="A16" s="28" t="s">
        <v>6</v>
      </c>
      <c r="B16" s="35"/>
      <c r="C16" s="35"/>
      <c r="D16" s="35"/>
      <c r="F16" s="74"/>
      <c r="I16" s="138"/>
      <c r="J16" s="162"/>
      <c r="K16" s="163"/>
    </row>
    <row r="17" spans="1:11" s="30" customFormat="1" ht="18" customHeight="1">
      <c r="A17" s="28" t="s">
        <v>6</v>
      </c>
      <c r="B17" s="35" t="s">
        <v>30</v>
      </c>
      <c r="C17" s="35" t="s">
        <v>21</v>
      </c>
      <c r="D17" s="35" t="s">
        <v>272</v>
      </c>
      <c r="E17" s="28"/>
      <c r="F17" s="49" t="s">
        <v>293</v>
      </c>
      <c r="G17" s="49" t="s">
        <v>49</v>
      </c>
      <c r="H17" s="50" t="s">
        <v>352</v>
      </c>
      <c r="I17" s="65">
        <v>50000000</v>
      </c>
      <c r="J17" s="65">
        <v>349000000</v>
      </c>
      <c r="K17" s="65">
        <f>SUM(I17:J17)</f>
        <v>399000000</v>
      </c>
    </row>
    <row r="18" spans="1:11" s="30" customFormat="1" ht="18" customHeight="1">
      <c r="A18" s="28" t="s">
        <v>6</v>
      </c>
      <c r="B18" s="128"/>
      <c r="C18" s="35"/>
      <c r="D18" s="128"/>
      <c r="E18" s="28"/>
      <c r="F18" s="46"/>
      <c r="G18" s="28"/>
      <c r="H18" s="28"/>
      <c r="I18" s="135"/>
      <c r="J18" s="150"/>
      <c r="K18" s="144"/>
    </row>
    <row r="19" spans="1:11" s="30" customFormat="1" ht="18" customHeight="1">
      <c r="A19" s="28" t="s">
        <v>6</v>
      </c>
      <c r="B19" s="125"/>
      <c r="C19" s="35" t="s">
        <v>7</v>
      </c>
      <c r="D19" s="35" t="s">
        <v>309</v>
      </c>
      <c r="E19" s="28"/>
      <c r="F19" s="132" t="s">
        <v>337</v>
      </c>
      <c r="G19" s="132" t="s">
        <v>32</v>
      </c>
      <c r="H19" s="107" t="s">
        <v>18</v>
      </c>
      <c r="I19" s="110">
        <f>I11+I15+I17</f>
        <v>595000000</v>
      </c>
      <c r="J19" s="110">
        <f>J11+J15+J17</f>
        <v>349000000</v>
      </c>
      <c r="K19" s="110">
        <f>SUM(I19:J19)</f>
        <v>944000000</v>
      </c>
    </row>
    <row r="20" spans="1:11" ht="18" customHeight="1">
      <c r="A20" s="28" t="s">
        <v>6</v>
      </c>
      <c r="B20" s="42"/>
      <c r="C20" s="42"/>
      <c r="D20" s="42"/>
      <c r="I20" s="138"/>
      <c r="J20" s="162"/>
      <c r="K20" s="185"/>
    </row>
    <row r="21" spans="1:11" s="30" customFormat="1" ht="18" customHeight="1">
      <c r="A21" s="28" t="s">
        <v>6</v>
      </c>
      <c r="B21" s="35" t="s">
        <v>19</v>
      </c>
      <c r="C21" s="35" t="s">
        <v>19</v>
      </c>
      <c r="D21" s="35" t="s">
        <v>8</v>
      </c>
      <c r="E21" s="28"/>
      <c r="F21" s="83" t="s">
        <v>343</v>
      </c>
      <c r="G21" s="83" t="s">
        <v>10</v>
      </c>
      <c r="H21" s="41" t="s">
        <v>220</v>
      </c>
      <c r="I21" s="62">
        <v>65000000</v>
      </c>
      <c r="J21" s="62"/>
      <c r="K21" s="156">
        <f t="shared" si="0"/>
        <v>65000000</v>
      </c>
    </row>
    <row r="22" spans="1:11" s="30" customFormat="1" ht="18" customHeight="1">
      <c r="A22" s="28" t="s">
        <v>6</v>
      </c>
      <c r="B22" s="35" t="s">
        <v>19</v>
      </c>
      <c r="C22" s="35" t="s">
        <v>19</v>
      </c>
      <c r="D22" s="35" t="s">
        <v>14</v>
      </c>
      <c r="E22" s="28"/>
      <c r="F22" s="83" t="s">
        <v>221</v>
      </c>
      <c r="G22" s="83" t="s">
        <v>10</v>
      </c>
      <c r="H22" s="41" t="s">
        <v>285</v>
      </c>
      <c r="I22" s="62">
        <v>25000000</v>
      </c>
      <c r="J22" s="62"/>
      <c r="K22" s="156">
        <f t="shared" si="0"/>
        <v>25000000</v>
      </c>
    </row>
    <row r="23" spans="1:11" s="30" customFormat="1" ht="18" customHeight="1">
      <c r="A23" s="28" t="s">
        <v>6</v>
      </c>
      <c r="B23" s="35"/>
      <c r="C23" s="35" t="s">
        <v>19</v>
      </c>
      <c r="D23" s="35" t="s">
        <v>20</v>
      </c>
      <c r="E23" s="28"/>
      <c r="F23" s="80" t="s">
        <v>222</v>
      </c>
      <c r="G23" s="49" t="s">
        <v>17</v>
      </c>
      <c r="H23" s="50" t="s">
        <v>223</v>
      </c>
      <c r="I23" s="65">
        <f>SUM(I21:I22)</f>
        <v>90000000</v>
      </c>
      <c r="J23" s="65">
        <f>SUM(J21:J22)</f>
        <v>0</v>
      </c>
      <c r="K23" s="65">
        <f t="shared" si="0"/>
        <v>90000000</v>
      </c>
    </row>
    <row r="24" spans="1:11" ht="18" customHeight="1">
      <c r="A24" s="28" t="s">
        <v>6</v>
      </c>
      <c r="B24" s="35"/>
      <c r="C24" s="35"/>
      <c r="D24" s="35"/>
      <c r="I24" s="138"/>
      <c r="J24" s="162"/>
      <c r="K24" s="185"/>
    </row>
    <row r="25" spans="1:11" s="30" customFormat="1" ht="18" customHeight="1">
      <c r="A25" s="28" t="s">
        <v>6</v>
      </c>
      <c r="B25" s="35" t="s">
        <v>26</v>
      </c>
      <c r="C25" s="42" t="s">
        <v>7</v>
      </c>
      <c r="D25" s="35" t="s">
        <v>8</v>
      </c>
      <c r="E25" s="28"/>
      <c r="F25" s="79" t="s">
        <v>224</v>
      </c>
      <c r="G25" s="79" t="s">
        <v>10</v>
      </c>
      <c r="H25" s="78" t="s">
        <v>225</v>
      </c>
      <c r="I25" s="85">
        <v>120000000</v>
      </c>
      <c r="J25" s="85"/>
      <c r="K25" s="161">
        <f t="shared" si="0"/>
        <v>120000000</v>
      </c>
    </row>
    <row r="26" spans="1:11" s="30" customFormat="1" ht="18" customHeight="1">
      <c r="A26" s="28" t="s">
        <v>6</v>
      </c>
      <c r="B26" s="35" t="s">
        <v>26</v>
      </c>
      <c r="C26" s="42" t="s">
        <v>7</v>
      </c>
      <c r="D26" s="35" t="s">
        <v>8</v>
      </c>
      <c r="E26" s="28"/>
      <c r="F26" s="79" t="s">
        <v>226</v>
      </c>
      <c r="G26" s="36" t="s">
        <v>10</v>
      </c>
      <c r="H26" s="84" t="s">
        <v>227</v>
      </c>
      <c r="I26" s="87">
        <v>95000000</v>
      </c>
      <c r="J26" s="87"/>
      <c r="K26" s="153">
        <f t="shared" si="0"/>
        <v>95000000</v>
      </c>
    </row>
    <row r="27" spans="1:11" s="30" customFormat="1" ht="18" customHeight="1">
      <c r="A27" s="28" t="s">
        <v>6</v>
      </c>
      <c r="B27" s="35"/>
      <c r="C27" s="42" t="s">
        <v>7</v>
      </c>
      <c r="D27" s="35" t="s">
        <v>20</v>
      </c>
      <c r="E27" s="28"/>
      <c r="F27" s="49" t="s">
        <v>228</v>
      </c>
      <c r="G27" s="49" t="s">
        <v>17</v>
      </c>
      <c r="H27" s="50" t="s">
        <v>229</v>
      </c>
      <c r="I27" s="65">
        <f>SUM(I25:I26)</f>
        <v>215000000</v>
      </c>
      <c r="J27" s="65">
        <f>SUM(J25:J26)</f>
        <v>0</v>
      </c>
      <c r="K27" s="65">
        <f t="shared" si="0"/>
        <v>215000000</v>
      </c>
    </row>
    <row r="28" spans="1:11" ht="18" customHeight="1">
      <c r="A28" s="28" t="s">
        <v>6</v>
      </c>
      <c r="B28" s="35"/>
      <c r="C28" s="35"/>
      <c r="D28" s="35"/>
      <c r="F28" s="186"/>
      <c r="G28" s="186"/>
      <c r="H28" s="186"/>
      <c r="I28" s="187"/>
      <c r="J28" s="162"/>
      <c r="K28" s="185"/>
    </row>
    <row r="29" spans="1:11" s="30" customFormat="1" ht="24.95" customHeight="1">
      <c r="A29" s="28" t="s">
        <v>6</v>
      </c>
      <c r="B29" s="35"/>
      <c r="C29" s="35" t="s">
        <v>52</v>
      </c>
      <c r="D29" s="35" t="s">
        <v>31</v>
      </c>
      <c r="E29" s="28"/>
      <c r="F29" s="51" t="s">
        <v>230</v>
      </c>
      <c r="G29" s="51" t="s">
        <v>52</v>
      </c>
      <c r="H29" s="52" t="s">
        <v>231</v>
      </c>
      <c r="I29" s="66">
        <f>I19+I23+I27</f>
        <v>900000000</v>
      </c>
      <c r="J29" s="66">
        <f>J19+J23+J27</f>
        <v>349000000</v>
      </c>
      <c r="K29" s="66">
        <f t="shared" si="0"/>
        <v>1249000000</v>
      </c>
    </row>
    <row r="30" spans="1:11" s="30" customFormat="1" ht="18" customHeight="1">
      <c r="A30" s="28"/>
      <c r="B30" s="75"/>
      <c r="C30" s="75"/>
      <c r="D30" s="75"/>
      <c r="E30" s="28"/>
      <c r="F30" s="28"/>
      <c r="G30" s="28"/>
      <c r="H30" s="28"/>
      <c r="I30" s="29"/>
      <c r="J30" s="136"/>
      <c r="K30" s="157"/>
    </row>
    <row r="31" spans="1:11" s="30" customFormat="1" ht="18" customHeight="1">
      <c r="A31" s="28"/>
      <c r="B31" s="75"/>
      <c r="C31" s="75"/>
      <c r="D31" s="75"/>
      <c r="E31" s="28"/>
      <c r="F31" s="28"/>
      <c r="G31" s="28"/>
      <c r="H31" s="28"/>
      <c r="I31" s="29"/>
      <c r="J31" s="136"/>
      <c r="K31" s="157"/>
    </row>
    <row r="32" spans="1:11" s="30" customFormat="1" ht="18" customHeight="1">
      <c r="A32" s="28"/>
      <c r="B32" s="75"/>
      <c r="C32" s="75"/>
      <c r="D32" s="75"/>
      <c r="E32" s="28"/>
      <c r="F32" s="28"/>
      <c r="G32" s="28"/>
      <c r="H32" s="28"/>
      <c r="I32" s="29"/>
      <c r="J32" s="136"/>
      <c r="K32" s="157"/>
    </row>
    <row r="33" spans="1:11" s="30" customFormat="1" ht="18" customHeight="1">
      <c r="A33" s="28"/>
      <c r="B33" s="75"/>
      <c r="C33" s="75"/>
      <c r="D33" s="75"/>
      <c r="E33" s="28"/>
      <c r="F33" s="28"/>
      <c r="G33" s="28"/>
      <c r="H33" s="28"/>
      <c r="I33" s="29"/>
      <c r="J33" s="136"/>
      <c r="K33" s="157"/>
    </row>
    <row r="34" spans="1:11" s="30" customFormat="1" ht="18" customHeight="1">
      <c r="A34" s="28"/>
      <c r="B34" s="75"/>
      <c r="C34" s="75"/>
      <c r="D34" s="75"/>
      <c r="E34" s="28"/>
      <c r="F34" s="28"/>
      <c r="G34" s="28"/>
      <c r="H34" s="28"/>
      <c r="I34" s="29"/>
      <c r="J34" s="136"/>
      <c r="K34" s="157"/>
    </row>
    <row r="35" spans="1:11" s="30" customFormat="1" ht="18" customHeight="1">
      <c r="A35" s="28"/>
      <c r="B35" s="75"/>
      <c r="C35" s="75"/>
      <c r="D35" s="75"/>
      <c r="E35" s="28"/>
      <c r="F35" s="28"/>
      <c r="G35" s="28"/>
      <c r="H35" s="28"/>
      <c r="I35" s="29"/>
      <c r="J35" s="136"/>
      <c r="K35" s="157"/>
    </row>
    <row r="36" spans="1:11" s="30" customFormat="1" ht="18" customHeight="1">
      <c r="A36" s="28"/>
      <c r="B36" s="75"/>
      <c r="C36" s="75"/>
      <c r="D36" s="75"/>
      <c r="E36" s="28"/>
      <c r="F36" s="28"/>
      <c r="G36" s="28"/>
      <c r="H36" s="28"/>
      <c r="I36" s="29"/>
      <c r="J36" s="136"/>
      <c r="K36" s="157"/>
    </row>
    <row r="37" spans="1:11" s="27" customFormat="1" ht="18" customHeight="1">
      <c r="A37" s="2"/>
      <c r="B37" s="73"/>
      <c r="C37" s="73"/>
      <c r="D37" s="73"/>
      <c r="E37" s="28"/>
      <c r="F37" s="53" t="s">
        <v>54</v>
      </c>
      <c r="G37" s="229" t="s">
        <v>55</v>
      </c>
      <c r="H37" s="229"/>
      <c r="I37" s="67" t="s">
        <v>5</v>
      </c>
      <c r="J37" s="137"/>
      <c r="K37" s="137"/>
    </row>
    <row r="38" spans="1:11" s="30" customFormat="1" ht="18" customHeight="1">
      <c r="A38" s="4"/>
      <c r="B38" s="73"/>
      <c r="C38" s="73"/>
      <c r="D38" s="73"/>
      <c r="E38" s="28"/>
      <c r="F38" s="54" t="s">
        <v>7</v>
      </c>
      <c r="G38" s="230">
        <f>COUNTIF($B$7:$B$29,"UTM")</f>
        <v>4</v>
      </c>
      <c r="H38" s="230"/>
      <c r="I38" s="67">
        <f>SUMIFS($K$7:$K$29,$B$7:$B$29,F38)</f>
        <v>425000000</v>
      </c>
      <c r="J38" s="137"/>
      <c r="K38" s="137"/>
    </row>
    <row r="39" spans="1:11" s="30" customFormat="1" ht="18" customHeight="1">
      <c r="A39" s="4"/>
      <c r="B39" s="73"/>
      <c r="C39" s="73"/>
      <c r="D39" s="73"/>
      <c r="E39" s="28"/>
      <c r="F39" s="54" t="s">
        <v>13</v>
      </c>
      <c r="G39" s="230">
        <f>COUNTIF($B$7:$B$29,"SPM")</f>
        <v>2</v>
      </c>
      <c r="H39" s="230"/>
      <c r="I39" s="67">
        <f>SUMIFS($K$7:$K$29,$B$7:$B$29,F39)</f>
        <v>120000000</v>
      </c>
      <c r="J39" s="137"/>
      <c r="K39" s="137"/>
    </row>
    <row r="40" spans="1:11" s="30" customFormat="1" ht="18" customHeight="1">
      <c r="A40" s="4"/>
      <c r="B40" s="73"/>
      <c r="C40" s="73"/>
      <c r="D40" s="73"/>
      <c r="E40" s="28"/>
      <c r="F40" s="54" t="s">
        <v>19</v>
      </c>
      <c r="G40" s="230">
        <f>COUNTIF($B$7:$B$29,"PMT")</f>
        <v>2</v>
      </c>
      <c r="H40" s="230"/>
      <c r="I40" s="67">
        <f>SUMIFS($K$7:$K$29,$B$7:$B$29,F40)</f>
        <v>90000000</v>
      </c>
      <c r="J40" s="137"/>
      <c r="K40" s="137"/>
    </row>
    <row r="41" spans="1:11" s="30" customFormat="1" ht="18" customHeight="1">
      <c r="A41" s="4"/>
      <c r="B41" s="73"/>
      <c r="C41" s="73"/>
      <c r="D41" s="73"/>
      <c r="E41" s="28"/>
      <c r="F41" s="54" t="s">
        <v>21</v>
      </c>
      <c r="G41" s="230">
        <f>COUNTIF($B$7:$B$29,"PRM")</f>
        <v>0</v>
      </c>
      <c r="H41" s="230"/>
      <c r="I41" s="67">
        <f>I17</f>
        <v>50000000</v>
      </c>
      <c r="J41" s="137"/>
      <c r="K41" s="137"/>
    </row>
    <row r="42" spans="1:11" s="30" customFormat="1" ht="18" customHeight="1">
      <c r="A42" s="4"/>
      <c r="B42" s="73"/>
      <c r="C42" s="73"/>
      <c r="D42" s="73"/>
      <c r="E42" s="28"/>
      <c r="F42" s="54" t="s">
        <v>26</v>
      </c>
      <c r="G42" s="230">
        <f>COUNTIF($B$7:$B$29,"COMBO UTM-SPM")</f>
        <v>2</v>
      </c>
      <c r="H42" s="230"/>
      <c r="I42" s="67">
        <f>SUMIFS($K$7:$K$29,$B$7:$B$29,F42)</f>
        <v>215000000</v>
      </c>
      <c r="J42" s="137"/>
      <c r="K42" s="137"/>
    </row>
    <row r="43" spans="1:11" s="30" customFormat="1" ht="18" customHeight="1">
      <c r="A43" s="4"/>
      <c r="B43" s="73"/>
      <c r="C43" s="73"/>
      <c r="D43" s="73"/>
      <c r="E43" s="28"/>
      <c r="F43" s="54" t="s">
        <v>27</v>
      </c>
      <c r="G43" s="230">
        <f>COUNTIF($B$7:$B$29,"COMBO UTM-SPM-PMT")</f>
        <v>0</v>
      </c>
      <c r="H43" s="230"/>
      <c r="I43" s="67">
        <f>SUMIFS($K$7:$K$29,$B$7:$B$29,F43)</f>
        <v>0</v>
      </c>
      <c r="J43" s="137"/>
      <c r="K43" s="137"/>
    </row>
    <row r="44" spans="1:11" s="30" customFormat="1" ht="18" customHeight="1">
      <c r="A44" s="4"/>
      <c r="B44" s="73"/>
      <c r="C44" s="73"/>
      <c r="D44" s="73"/>
      <c r="E44" s="28"/>
      <c r="F44" s="54" t="s">
        <v>29</v>
      </c>
      <c r="G44" s="230">
        <f>COUNTIF($B$7:$B$29,"COMBO UTM-SPM-PRM-PNC")</f>
        <v>0</v>
      </c>
      <c r="H44" s="230"/>
      <c r="I44" s="67">
        <f>SUMIFS($K$7:$K$29,$B$7:$B$29,F44)</f>
        <v>0</v>
      </c>
      <c r="J44" s="137"/>
      <c r="K44" s="137"/>
    </row>
    <row r="45" spans="1:11" s="30" customFormat="1" ht="18" customHeight="1">
      <c r="A45" s="4"/>
      <c r="B45" s="73"/>
      <c r="C45" s="73"/>
      <c r="D45" s="73"/>
      <c r="E45" s="28"/>
      <c r="F45" s="54" t="s">
        <v>30</v>
      </c>
      <c r="G45" s="230">
        <f>COUNTIF($B$7:$B$29,"COMBO PRM-PNC")</f>
        <v>1</v>
      </c>
      <c r="H45" s="230"/>
      <c r="I45" s="67">
        <v>0</v>
      </c>
      <c r="J45" s="137"/>
      <c r="K45" s="137"/>
    </row>
    <row r="46" spans="1:11" s="30" customFormat="1" ht="18" customHeight="1">
      <c r="A46" s="4"/>
      <c r="B46" s="73"/>
      <c r="C46" s="73"/>
      <c r="D46" s="73"/>
      <c r="E46" s="28"/>
      <c r="F46" s="54" t="s">
        <v>33</v>
      </c>
      <c r="G46" s="230">
        <f>COUNTIF($B$7:$B$29,"COMBO ALL DIV")</f>
        <v>0</v>
      </c>
      <c r="H46" s="230"/>
      <c r="I46" s="67">
        <f>SUMIFS($K$7:$K$29,$B$7:$B$29,F46)</f>
        <v>0</v>
      </c>
      <c r="J46" s="137"/>
      <c r="K46" s="137"/>
    </row>
    <row r="47" spans="1:11" s="30" customFormat="1" ht="18" customHeight="1">
      <c r="A47" s="4"/>
      <c r="B47" s="73"/>
      <c r="C47" s="73"/>
      <c r="D47" s="73"/>
      <c r="E47" s="28"/>
      <c r="F47" s="54" t="s">
        <v>23</v>
      </c>
      <c r="G47" s="230">
        <f>COUNTIF($B$7:$B$29,"PNC")</f>
        <v>0</v>
      </c>
      <c r="H47" s="230"/>
      <c r="I47" s="67">
        <f>J17</f>
        <v>349000000</v>
      </c>
      <c r="J47" s="137"/>
      <c r="K47" s="137"/>
    </row>
    <row r="48" spans="1:11" s="30" customFormat="1" ht="18" customHeight="1">
      <c r="A48" s="4"/>
      <c r="B48" s="73"/>
      <c r="C48" s="73"/>
      <c r="D48" s="73"/>
      <c r="E48" s="28"/>
      <c r="F48" s="53" t="s">
        <v>56</v>
      </c>
      <c r="G48" s="231">
        <f>SUM(G38:H47)</f>
        <v>11</v>
      </c>
      <c r="H48" s="231"/>
      <c r="I48" s="67">
        <f>SUM(I38:I47)</f>
        <v>1249000000</v>
      </c>
      <c r="J48" s="137"/>
      <c r="K48" s="137"/>
    </row>
    <row r="49" spans="1:11" s="30" customFormat="1" ht="18" customHeight="1">
      <c r="A49" s="28"/>
      <c r="B49" s="73"/>
      <c r="C49" s="73"/>
      <c r="D49" s="73"/>
      <c r="E49" s="28"/>
      <c r="F49" s="28"/>
      <c r="G49" s="28"/>
      <c r="H49" s="28"/>
      <c r="I49" s="29"/>
      <c r="J49" s="136"/>
      <c r="K49" s="157"/>
    </row>
    <row r="50" spans="1:11" s="27" customFormat="1" ht="18" customHeight="1">
      <c r="A50" s="2"/>
      <c r="B50" s="73"/>
      <c r="C50" s="73"/>
      <c r="D50" s="73"/>
      <c r="E50" s="28"/>
      <c r="F50" s="53" t="s">
        <v>3</v>
      </c>
      <c r="G50" s="56" t="s">
        <v>56</v>
      </c>
      <c r="H50" s="56" t="s">
        <v>57</v>
      </c>
      <c r="I50" s="68" t="s">
        <v>58</v>
      </c>
      <c r="J50" s="151"/>
      <c r="K50" s="151"/>
    </row>
    <row r="51" spans="1:11" s="30" customFormat="1" ht="18" customHeight="1">
      <c r="A51" s="4"/>
      <c r="B51" s="73"/>
      <c r="C51" s="73"/>
      <c r="D51" s="73"/>
      <c r="E51" s="28"/>
      <c r="F51" s="54" t="s">
        <v>10</v>
      </c>
      <c r="G51" s="55">
        <f>COUNTIF($G$7:$G$29,"PS")</f>
        <v>10</v>
      </c>
      <c r="H51" s="57">
        <f>COUNTIF($D$7:$D$29,"PS TERISI")</f>
        <v>8</v>
      </c>
      <c r="I51" s="69">
        <f t="shared" ref="I51:I56" si="1">G51-H51</f>
        <v>2</v>
      </c>
      <c r="J51" s="152"/>
      <c r="K51" s="151"/>
    </row>
    <row r="52" spans="1:11" s="30" customFormat="1" ht="18" customHeight="1">
      <c r="A52" s="4"/>
      <c r="B52" s="73"/>
      <c r="C52" s="73"/>
      <c r="D52" s="73"/>
      <c r="E52" s="28"/>
      <c r="F52" s="54" t="s">
        <v>100</v>
      </c>
      <c r="G52" s="55">
        <f>COUNTIF($G$7:$G$29,"AE")</f>
        <v>0</v>
      </c>
      <c r="H52" s="57">
        <f>COUNTIF($D$7:$D$29,"AE TERISI")</f>
        <v>0</v>
      </c>
      <c r="I52" s="69">
        <f t="shared" si="1"/>
        <v>0</v>
      </c>
      <c r="J52" s="152"/>
      <c r="K52" s="151"/>
    </row>
    <row r="53" spans="1:11" s="30" customFormat="1" ht="18" customHeight="1">
      <c r="A53" s="4"/>
      <c r="B53" s="73"/>
      <c r="C53" s="73"/>
      <c r="D53" s="73"/>
      <c r="E53" s="28"/>
      <c r="F53" s="54" t="s">
        <v>49</v>
      </c>
      <c r="G53" s="55">
        <f>COUNTIF($G$7:$G$29,"AM")</f>
        <v>1</v>
      </c>
      <c r="H53" s="57">
        <f>COUNTIF($D$7:$D$29,"AM TERISI")</f>
        <v>0</v>
      </c>
      <c r="I53" s="69">
        <f t="shared" si="1"/>
        <v>1</v>
      </c>
      <c r="J53" s="152"/>
      <c r="K53" s="151"/>
    </row>
    <row r="54" spans="1:11" s="30" customFormat="1" ht="18" customHeight="1">
      <c r="A54" s="4"/>
      <c r="B54" s="73"/>
      <c r="C54" s="73"/>
      <c r="D54" s="73"/>
      <c r="E54" s="28"/>
      <c r="F54" s="54" t="s">
        <v>17</v>
      </c>
      <c r="G54" s="55">
        <f>COUNTIF($G$7:$G$29,"DM")</f>
        <v>4</v>
      </c>
      <c r="H54" s="57">
        <f>COUNTIF($D$7:$D$29,"DM TERISI")</f>
        <v>3</v>
      </c>
      <c r="I54" s="69">
        <f t="shared" si="1"/>
        <v>1</v>
      </c>
      <c r="J54" s="152"/>
      <c r="K54" s="151"/>
    </row>
    <row r="55" spans="1:11" s="30" customFormat="1" ht="18" customHeight="1">
      <c r="A55" s="4"/>
      <c r="B55" s="73"/>
      <c r="C55" s="73"/>
      <c r="D55" s="73"/>
      <c r="E55" s="28"/>
      <c r="F55" s="54" t="s">
        <v>32</v>
      </c>
      <c r="G55" s="55">
        <f>COUNTIF($G$7:$G$29,"RSM")</f>
        <v>1</v>
      </c>
      <c r="H55" s="57">
        <f>COUNTIF($D$7:$D$29,"RSM TERISI")</f>
        <v>0</v>
      </c>
      <c r="I55" s="69">
        <f t="shared" si="1"/>
        <v>1</v>
      </c>
      <c r="J55" s="152"/>
      <c r="K55" s="151"/>
    </row>
    <row r="56" spans="1:11" s="30" customFormat="1" ht="18" customHeight="1">
      <c r="A56" s="4"/>
      <c r="B56" s="73"/>
      <c r="C56" s="73"/>
      <c r="D56" s="73"/>
      <c r="E56" s="28"/>
      <c r="F56" s="54" t="s">
        <v>52</v>
      </c>
      <c r="G56" s="55">
        <f>COUNTIF($G$7:$G$29,"BCO")</f>
        <v>1</v>
      </c>
      <c r="H56" s="57">
        <f>COUNTIF($D$7:$D$29,"BCO TERISI")</f>
        <v>1</v>
      </c>
      <c r="I56" s="69">
        <f t="shared" si="1"/>
        <v>0</v>
      </c>
      <c r="J56" s="152"/>
      <c r="K56" s="151"/>
    </row>
    <row r="57" spans="1:11" s="30" customFormat="1" ht="18" customHeight="1">
      <c r="A57" s="4"/>
      <c r="B57" s="73"/>
      <c r="C57" s="73"/>
      <c r="D57" s="73"/>
      <c r="E57" s="28"/>
      <c r="F57" s="53" t="s">
        <v>56</v>
      </c>
      <c r="G57" s="56">
        <f>SUM(G51:G56)</f>
        <v>17</v>
      </c>
      <c r="H57" s="56">
        <f>SUM(H51:H56)</f>
        <v>12</v>
      </c>
      <c r="I57" s="68">
        <f>SUM(I51:I56)</f>
        <v>5</v>
      </c>
      <c r="J57" s="151"/>
      <c r="K57" s="151"/>
    </row>
    <row r="58" spans="1:11" s="30" customFormat="1" ht="18" customHeight="1">
      <c r="A58" s="4"/>
      <c r="B58" s="4"/>
      <c r="C58" s="4"/>
      <c r="D58" s="4"/>
      <c r="E58" s="28"/>
      <c r="F58" s="28"/>
      <c r="G58" s="28"/>
      <c r="H58" s="58">
        <f>H57/G57</f>
        <v>0.70588235294117652</v>
      </c>
      <c r="I58" s="70">
        <f>I57/G57</f>
        <v>0.29411764705882354</v>
      </c>
      <c r="J58" s="151"/>
      <c r="K58" s="151"/>
    </row>
  </sheetData>
  <mergeCells count="23">
    <mergeCell ref="G37:H37"/>
    <mergeCell ref="G38:H38"/>
    <mergeCell ref="G48:H48"/>
    <mergeCell ref="G39:H39"/>
    <mergeCell ref="G40:H40"/>
    <mergeCell ref="G41:H41"/>
    <mergeCell ref="G47:H47"/>
    <mergeCell ref="G46:H46"/>
    <mergeCell ref="G42:H42"/>
    <mergeCell ref="G43:H43"/>
    <mergeCell ref="G44:H44"/>
    <mergeCell ref="G45:H45"/>
    <mergeCell ref="F1:K1"/>
    <mergeCell ref="F2:K2"/>
    <mergeCell ref="H4:H5"/>
    <mergeCell ref="I4:I5"/>
    <mergeCell ref="J4:J5"/>
    <mergeCell ref="K4:K5"/>
    <mergeCell ref="B4:B5"/>
    <mergeCell ref="D4:D5"/>
    <mergeCell ref="F4:F5"/>
    <mergeCell ref="G4:G5"/>
    <mergeCell ref="C4:C5"/>
  </mergeCells>
  <conditionalFormatting sqref="D4">
    <cfRule type="duplicateValues" dxfId="15" priority="2"/>
  </conditionalFormatting>
  <conditionalFormatting sqref="F4">
    <cfRule type="duplicateValues" dxfId="14" priority="5"/>
  </conditionalFormatting>
  <conditionalFormatting sqref="F7:F29">
    <cfRule type="duplicateValues" dxfId="13" priority="8"/>
  </conditionalFormatting>
  <conditionalFormatting sqref="F29">
    <cfRule type="duplicateValues" dxfId="12" priority="6"/>
  </conditionalFormatting>
  <conditionalFormatting sqref="F38:F47">
    <cfRule type="duplicateValues" dxfId="11" priority="3"/>
  </conditionalFormatting>
  <printOptions horizontalCentered="1"/>
  <pageMargins left="0.27559055118110198" right="0.196850393700787" top="0.47244094488188998" bottom="0.39370078740157499" header="0.31496062992126" footer="0.31496062992126"/>
  <pageSetup paperSize="9" scale="72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1000000}">
          <x14:formula1>
            <xm:f>NAD!$D$5:$D$16</xm:f>
          </x14:formula1>
          <xm:sqref>D7:D29</xm:sqref>
        </x14:dataValidation>
        <x14:dataValidation type="list" allowBlank="1" showInputMessage="1" showErrorMessage="1" xr:uid="{4ED88DF0-4A5B-4762-AAD2-41E6765315EE}">
          <x14:formula1>
            <xm:f>NAD!$B$5:$B$13</xm:f>
          </x14:formula1>
          <xm:sqref>B7:B29</xm:sqref>
        </x14:dataValidation>
        <x14:dataValidation type="list" allowBlank="1" showInputMessage="1" showErrorMessage="1" xr:uid="{6F8E390C-53C8-40EB-A123-013DFD689B40}">
          <x14:formula1>
            <xm:f>NAD!$C$5:$C$10</xm:f>
          </x14:formula1>
          <xm:sqref>C7:C29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K44"/>
  <sheetViews>
    <sheetView showGridLines="0" zoomScale="70" zoomScaleNormal="70" workbookViewId="0">
      <pane xSplit="1" ySplit="6" topLeftCell="B17" activePane="bottomRight" state="frozen"/>
      <selection pane="topRight" activeCell="B1" sqref="B1"/>
      <selection pane="bottomLeft" activeCell="A7" sqref="A7"/>
      <selection pane="bottomRight" activeCell="F1" sqref="F1:K21"/>
    </sheetView>
  </sheetViews>
  <sheetFormatPr defaultColWidth="3.5703125" defaultRowHeight="18" customHeight="1"/>
  <cols>
    <col min="1" max="1" width="2.5703125" customWidth="1"/>
    <col min="2" max="2" width="20.5703125" style="33" customWidth="1"/>
    <col min="3" max="4" width="11.5703125" style="33" customWidth="1"/>
    <col min="5" max="5" width="2.5703125" style="28" customWidth="1"/>
    <col min="6" max="6" width="35.5703125" customWidth="1"/>
    <col min="7" max="7" width="10.5703125" customWidth="1"/>
    <col min="8" max="8" width="35.5703125" customWidth="1"/>
    <col min="9" max="9" width="22.140625" style="71" bestFit="1" customWidth="1"/>
    <col min="10" max="10" width="22.140625" style="139" bestFit="1" customWidth="1"/>
    <col min="11" max="11" width="22.140625" style="164" bestFit="1" customWidth="1"/>
    <col min="12" max="16384" width="3.5703125" style="72"/>
  </cols>
  <sheetData>
    <row r="1" spans="1:11" s="30" customFormat="1" ht="24.95" customHeight="1">
      <c r="A1" s="28"/>
      <c r="B1" s="33"/>
      <c r="C1" s="33"/>
      <c r="D1" s="33"/>
      <c r="E1" s="28"/>
      <c r="F1" s="224" t="s">
        <v>365</v>
      </c>
      <c r="G1" s="224"/>
      <c r="H1" s="224"/>
      <c r="I1" s="224"/>
      <c r="J1" s="224"/>
      <c r="K1" s="224"/>
    </row>
    <row r="2" spans="1:11" s="30" customFormat="1" ht="24.95" customHeight="1">
      <c r="A2" s="28"/>
      <c r="B2" s="73"/>
      <c r="C2" s="73"/>
      <c r="D2" s="73"/>
      <c r="E2" s="28"/>
      <c r="F2" s="224" t="s">
        <v>245</v>
      </c>
      <c r="G2" s="224"/>
      <c r="H2" s="224"/>
      <c r="I2" s="224"/>
      <c r="J2" s="224"/>
      <c r="K2" s="224"/>
    </row>
    <row r="3" spans="1:11" s="30" customFormat="1" ht="18" customHeight="1">
      <c r="A3" s="28"/>
      <c r="B3" s="127"/>
      <c r="C3" s="127"/>
      <c r="D3" s="127"/>
      <c r="E3" s="28"/>
      <c r="F3" s="31"/>
      <c r="G3" s="31"/>
      <c r="H3" s="32"/>
      <c r="I3" s="59"/>
      <c r="J3" s="59"/>
      <c r="K3" s="141"/>
    </row>
    <row r="4" spans="1:11" s="30" customFormat="1" ht="20.100000000000001" customHeight="1">
      <c r="A4" s="28"/>
      <c r="B4" s="220" t="s">
        <v>0</v>
      </c>
      <c r="C4" s="220" t="s">
        <v>296</v>
      </c>
      <c r="D4" s="220" t="s">
        <v>1</v>
      </c>
      <c r="E4" s="28"/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1" s="30" customFormat="1" ht="20.100000000000001" customHeight="1">
      <c r="A5" s="28"/>
      <c r="B5" s="221"/>
      <c r="C5" s="221"/>
      <c r="D5" s="221"/>
      <c r="E5" s="28"/>
      <c r="F5" s="223"/>
      <c r="G5" s="223"/>
      <c r="H5" s="223"/>
      <c r="I5" s="226"/>
      <c r="J5" s="228"/>
      <c r="K5" s="228"/>
    </row>
    <row r="6" spans="1:11" s="30" customFormat="1" ht="9.9499999999999993" customHeight="1">
      <c r="A6" s="28" t="s">
        <v>6</v>
      </c>
      <c r="B6" s="33"/>
      <c r="C6" s="33"/>
      <c r="D6" s="33"/>
      <c r="E6" s="28"/>
      <c r="F6" s="28"/>
      <c r="G6" s="28"/>
      <c r="H6" s="34"/>
      <c r="I6" s="29"/>
      <c r="J6" s="29"/>
      <c r="K6" s="142"/>
    </row>
    <row r="7" spans="1:11" s="30" customFormat="1" ht="18" customHeight="1">
      <c r="A7" s="28" t="s">
        <v>6</v>
      </c>
      <c r="B7" s="35" t="s">
        <v>7</v>
      </c>
      <c r="C7" s="35" t="s">
        <v>7</v>
      </c>
      <c r="D7" s="35" t="s">
        <v>8</v>
      </c>
      <c r="E7" s="28"/>
      <c r="F7" s="36" t="s">
        <v>232</v>
      </c>
      <c r="G7" s="36" t="s">
        <v>10</v>
      </c>
      <c r="H7" s="37" t="s">
        <v>233</v>
      </c>
      <c r="I7" s="60">
        <v>75000000</v>
      </c>
      <c r="J7" s="60"/>
      <c r="K7" s="143">
        <f>SUM(I7:J7)</f>
        <v>75000000</v>
      </c>
    </row>
    <row r="8" spans="1:11" s="30" customFormat="1" ht="18" customHeight="1">
      <c r="A8" s="28" t="s">
        <v>6</v>
      </c>
      <c r="B8" s="35" t="s">
        <v>7</v>
      </c>
      <c r="C8" s="35" t="s">
        <v>7</v>
      </c>
      <c r="D8" s="35" t="s">
        <v>8</v>
      </c>
      <c r="E8" s="28"/>
      <c r="F8" s="36" t="s">
        <v>234</v>
      </c>
      <c r="G8" s="36" t="s">
        <v>10</v>
      </c>
      <c r="H8" s="37" t="s">
        <v>235</v>
      </c>
      <c r="I8" s="60">
        <v>70000000</v>
      </c>
      <c r="J8" s="60"/>
      <c r="K8" s="143">
        <f t="shared" ref="K8:K21" si="0">SUM(I8:J8)</f>
        <v>70000000</v>
      </c>
    </row>
    <row r="9" spans="1:11" s="30" customFormat="1" ht="18" customHeight="1">
      <c r="A9" s="28" t="s">
        <v>6</v>
      </c>
      <c r="B9" s="42" t="s">
        <v>33</v>
      </c>
      <c r="C9" s="35" t="s">
        <v>7</v>
      </c>
      <c r="D9" s="35" t="s">
        <v>8</v>
      </c>
      <c r="E9" s="28"/>
      <c r="F9" s="36" t="s">
        <v>238</v>
      </c>
      <c r="G9" s="36" t="s">
        <v>10</v>
      </c>
      <c r="H9" s="84" t="s">
        <v>239</v>
      </c>
      <c r="I9" s="87">
        <v>70000000</v>
      </c>
      <c r="J9" s="87"/>
      <c r="K9" s="153">
        <f t="shared" si="0"/>
        <v>70000000</v>
      </c>
    </row>
    <row r="10" spans="1:11" s="30" customFormat="1" ht="18" customHeight="1">
      <c r="A10" s="28" t="s">
        <v>6</v>
      </c>
      <c r="B10" s="35"/>
      <c r="C10" s="35" t="s">
        <v>7</v>
      </c>
      <c r="D10" s="35" t="s">
        <v>20</v>
      </c>
      <c r="E10" s="28"/>
      <c r="F10" s="43" t="s">
        <v>240</v>
      </c>
      <c r="G10" s="44" t="s">
        <v>17</v>
      </c>
      <c r="H10" s="45" t="s">
        <v>241</v>
      </c>
      <c r="I10" s="63">
        <f>SUM(I7:I9)</f>
        <v>215000000</v>
      </c>
      <c r="J10" s="63">
        <f>SUM(J7:J9)</f>
        <v>0</v>
      </c>
      <c r="K10" s="63">
        <f t="shared" si="0"/>
        <v>215000000</v>
      </c>
    </row>
    <row r="11" spans="1:11" ht="18" customHeight="1">
      <c r="A11" s="28" t="s">
        <v>6</v>
      </c>
      <c r="B11" s="35"/>
      <c r="C11" s="35"/>
      <c r="D11" s="35"/>
      <c r="F11" s="74"/>
      <c r="I11" s="138"/>
      <c r="J11" s="162"/>
      <c r="K11" s="163"/>
    </row>
    <row r="12" spans="1:11" s="30" customFormat="1" ht="18" customHeight="1">
      <c r="A12" s="28" t="s">
        <v>6</v>
      </c>
      <c r="B12" s="35" t="s">
        <v>13</v>
      </c>
      <c r="C12" s="35" t="s">
        <v>13</v>
      </c>
      <c r="D12" s="35" t="s">
        <v>8</v>
      </c>
      <c r="E12" s="28"/>
      <c r="F12" s="47" t="s">
        <v>236</v>
      </c>
      <c r="G12" s="47" t="s">
        <v>10</v>
      </c>
      <c r="H12" s="48" t="s">
        <v>237</v>
      </c>
      <c r="I12" s="64">
        <v>70000000</v>
      </c>
      <c r="J12" s="64"/>
      <c r="K12" s="148">
        <f>SUM(I12:J12)</f>
        <v>70000000</v>
      </c>
    </row>
    <row r="13" spans="1:11" s="30" customFormat="1" ht="18" customHeight="1">
      <c r="A13" s="28" t="s">
        <v>6</v>
      </c>
      <c r="B13" s="35" t="s">
        <v>19</v>
      </c>
      <c r="C13" s="35" t="s">
        <v>19</v>
      </c>
      <c r="D13" s="35" t="s">
        <v>8</v>
      </c>
      <c r="E13" s="28"/>
      <c r="F13" s="81" t="s">
        <v>311</v>
      </c>
      <c r="G13" s="81" t="s">
        <v>10</v>
      </c>
      <c r="H13" s="188" t="s">
        <v>242</v>
      </c>
      <c r="I13" s="189">
        <v>30000000</v>
      </c>
      <c r="J13" s="189"/>
      <c r="K13" s="190">
        <f t="shared" si="0"/>
        <v>30000000</v>
      </c>
    </row>
    <row r="14" spans="1:11" s="30" customFormat="1" ht="18" customHeight="1">
      <c r="A14" s="28" t="s">
        <v>6</v>
      </c>
      <c r="B14" s="42" t="s">
        <v>33</v>
      </c>
      <c r="C14" s="42" t="s">
        <v>7</v>
      </c>
      <c r="D14" s="35" t="s">
        <v>14</v>
      </c>
      <c r="E14" s="28"/>
      <c r="F14" s="47" t="s">
        <v>243</v>
      </c>
      <c r="G14" s="47" t="s">
        <v>10</v>
      </c>
      <c r="H14" s="48" t="s">
        <v>38</v>
      </c>
      <c r="I14" s="64">
        <v>35000000</v>
      </c>
      <c r="J14" s="64"/>
      <c r="K14" s="148">
        <f t="shared" si="0"/>
        <v>35000000</v>
      </c>
    </row>
    <row r="15" spans="1:11" s="30" customFormat="1" ht="18" customHeight="1">
      <c r="A15" s="28" t="s">
        <v>6</v>
      </c>
      <c r="B15" s="35"/>
      <c r="C15" s="35" t="s">
        <v>7</v>
      </c>
      <c r="D15" s="35" t="s">
        <v>15</v>
      </c>
      <c r="E15" s="28"/>
      <c r="F15" s="43" t="s">
        <v>244</v>
      </c>
      <c r="G15" s="44" t="s">
        <v>17</v>
      </c>
      <c r="H15" s="50" t="s">
        <v>307</v>
      </c>
      <c r="I15" s="65">
        <f>SUM(I12:I14)</f>
        <v>135000000</v>
      </c>
      <c r="J15" s="65">
        <f>SUM(J12:J14)</f>
        <v>0</v>
      </c>
      <c r="K15" s="65">
        <f t="shared" si="0"/>
        <v>135000000</v>
      </c>
    </row>
    <row r="16" spans="1:11" ht="18" customHeight="1">
      <c r="A16" s="28" t="s">
        <v>6</v>
      </c>
      <c r="B16" s="42"/>
      <c r="C16" s="42"/>
      <c r="D16" s="42"/>
      <c r="F16" s="74"/>
      <c r="I16" s="138"/>
      <c r="J16" s="162"/>
      <c r="K16" s="163"/>
    </row>
    <row r="17" spans="1:11" s="30" customFormat="1" ht="18" customHeight="1">
      <c r="A17" s="28" t="s">
        <v>6</v>
      </c>
      <c r="B17" s="35" t="s">
        <v>33</v>
      </c>
      <c r="C17" s="35" t="s">
        <v>7</v>
      </c>
      <c r="D17" s="35" t="s">
        <v>15</v>
      </c>
      <c r="E17" s="28"/>
      <c r="F17" s="49" t="s">
        <v>339</v>
      </c>
      <c r="G17" s="44" t="s">
        <v>17</v>
      </c>
      <c r="H17" s="50" t="s">
        <v>18</v>
      </c>
      <c r="I17" s="65">
        <v>50000000</v>
      </c>
      <c r="J17" s="65"/>
      <c r="K17" s="65">
        <f t="shared" si="0"/>
        <v>50000000</v>
      </c>
    </row>
    <row r="18" spans="1:11" ht="18" customHeight="1">
      <c r="A18" s="28" t="s">
        <v>6</v>
      </c>
      <c r="B18" s="35"/>
      <c r="C18" s="35"/>
      <c r="D18" s="35"/>
      <c r="F18" s="74"/>
      <c r="I18" s="138"/>
      <c r="J18" s="162"/>
      <c r="K18" s="163"/>
    </row>
    <row r="19" spans="1:11" s="30" customFormat="1" ht="18" customHeight="1">
      <c r="A19" s="28" t="s">
        <v>6</v>
      </c>
      <c r="B19" s="42" t="s">
        <v>30</v>
      </c>
      <c r="C19" s="42" t="s">
        <v>21</v>
      </c>
      <c r="D19" s="35" t="s">
        <v>272</v>
      </c>
      <c r="E19" s="182"/>
      <c r="F19" s="49" t="s">
        <v>338</v>
      </c>
      <c r="G19" s="44" t="s">
        <v>49</v>
      </c>
      <c r="H19" s="50" t="s">
        <v>18</v>
      </c>
      <c r="I19" s="65">
        <v>50000000</v>
      </c>
      <c r="J19" s="65">
        <v>349000000</v>
      </c>
      <c r="K19" s="65">
        <f>SUM(I19:J19)</f>
        <v>399000000</v>
      </c>
    </row>
    <row r="20" spans="1:11" ht="18" customHeight="1">
      <c r="A20" s="28" t="s">
        <v>6</v>
      </c>
      <c r="B20" s="42"/>
      <c r="C20" s="42"/>
      <c r="D20" s="35"/>
      <c r="F20" s="74"/>
      <c r="I20" s="138"/>
      <c r="J20" s="162"/>
      <c r="K20" s="163"/>
    </row>
    <row r="21" spans="1:11" s="30" customFormat="1" ht="24.6" customHeight="1">
      <c r="A21" s="28" t="s">
        <v>6</v>
      </c>
      <c r="B21" s="35"/>
      <c r="C21" s="35" t="s">
        <v>52</v>
      </c>
      <c r="D21" s="35" t="s">
        <v>31</v>
      </c>
      <c r="E21" s="28"/>
      <c r="F21" s="51" t="s">
        <v>245</v>
      </c>
      <c r="G21" s="51" t="s">
        <v>52</v>
      </c>
      <c r="H21" s="52" t="s">
        <v>246</v>
      </c>
      <c r="I21" s="66">
        <f>I10+I15+I17+I19</f>
        <v>450000000</v>
      </c>
      <c r="J21" s="66">
        <f>J10+J15+J17+J19</f>
        <v>349000000</v>
      </c>
      <c r="K21" s="66">
        <f t="shared" si="0"/>
        <v>799000000</v>
      </c>
    </row>
    <row r="22" spans="1:11" s="30" customFormat="1" ht="18" customHeight="1">
      <c r="A22" s="28"/>
      <c r="B22" s="75"/>
      <c r="C22" s="75"/>
      <c r="D22" s="75"/>
      <c r="E22" s="28"/>
      <c r="F22" s="28"/>
      <c r="G22" s="28"/>
      <c r="H22" s="28"/>
      <c r="I22" s="29"/>
      <c r="J22" s="136"/>
      <c r="K22" s="157"/>
    </row>
    <row r="23" spans="1:11" s="27" customFormat="1" ht="18" customHeight="1">
      <c r="A23" s="2"/>
      <c r="B23" s="73"/>
      <c r="C23" s="73"/>
      <c r="D23" s="73"/>
      <c r="E23" s="28"/>
      <c r="F23" s="53" t="s">
        <v>54</v>
      </c>
      <c r="G23" s="232" t="s">
        <v>55</v>
      </c>
      <c r="H23" s="233"/>
      <c r="I23" s="67" t="s">
        <v>5</v>
      </c>
      <c r="J23" s="137"/>
      <c r="K23" s="137"/>
    </row>
    <row r="24" spans="1:11" s="30" customFormat="1" ht="18" customHeight="1">
      <c r="A24" s="4"/>
      <c r="B24" s="73"/>
      <c r="C24" s="73"/>
      <c r="D24" s="73"/>
      <c r="E24" s="28"/>
      <c r="F24" s="54" t="s">
        <v>7</v>
      </c>
      <c r="G24" s="236">
        <f>COUNTIF($B$7:$B$21,"UTM")</f>
        <v>2</v>
      </c>
      <c r="H24" s="237"/>
      <c r="I24" s="67">
        <f>SUMIFS($K$7:$K$21,$B$7:$B$21,F24)</f>
        <v>145000000</v>
      </c>
      <c r="J24" s="137"/>
      <c r="K24" s="137"/>
    </row>
    <row r="25" spans="1:11" s="30" customFormat="1" ht="18" customHeight="1">
      <c r="A25" s="4"/>
      <c r="B25" s="73"/>
      <c r="C25" s="73"/>
      <c r="D25" s="73"/>
      <c r="E25" s="28"/>
      <c r="F25" s="54" t="s">
        <v>13</v>
      </c>
      <c r="G25" s="236">
        <f>COUNTIF($B$7:$B$21,"SPM")</f>
        <v>1</v>
      </c>
      <c r="H25" s="237"/>
      <c r="I25" s="67">
        <f>SUMIFS($K$7:$K$21,$B$7:$B$21,F25)</f>
        <v>70000000</v>
      </c>
      <c r="J25" s="137"/>
      <c r="K25" s="137"/>
    </row>
    <row r="26" spans="1:11" s="30" customFormat="1" ht="18" customHeight="1">
      <c r="A26" s="4"/>
      <c r="B26" s="73"/>
      <c r="C26" s="73"/>
      <c r="D26" s="73"/>
      <c r="E26" s="28"/>
      <c r="F26" s="54" t="s">
        <v>19</v>
      </c>
      <c r="G26" s="236">
        <f>COUNTIF($B$7:$B$21,"PMT")</f>
        <v>1</v>
      </c>
      <c r="H26" s="237"/>
      <c r="I26" s="67">
        <f>SUMIFS($K$7:$K$21,$B$7:$B$21,F26)</f>
        <v>30000000</v>
      </c>
      <c r="J26" s="137"/>
      <c r="K26" s="137"/>
    </row>
    <row r="27" spans="1:11" s="30" customFormat="1" ht="18" customHeight="1">
      <c r="A27" s="4"/>
      <c r="B27" s="73"/>
      <c r="C27" s="73"/>
      <c r="D27" s="73"/>
      <c r="E27" s="28"/>
      <c r="F27" s="54" t="s">
        <v>21</v>
      </c>
      <c r="G27" s="236">
        <f>COUNTIF($B$7:$B$21,"PRM")</f>
        <v>0</v>
      </c>
      <c r="H27" s="237"/>
      <c r="I27" s="67">
        <f>I19</f>
        <v>50000000</v>
      </c>
      <c r="J27" s="137"/>
      <c r="K27" s="137"/>
    </row>
    <row r="28" spans="1:11" s="30" customFormat="1" ht="18" customHeight="1">
      <c r="A28" s="4"/>
      <c r="B28" s="73"/>
      <c r="C28" s="73"/>
      <c r="D28" s="73"/>
      <c r="E28" s="28"/>
      <c r="F28" s="54" t="s">
        <v>26</v>
      </c>
      <c r="G28" s="236">
        <f>COUNTIF($B$7:$B$21,"COMBO UTM-SPM")</f>
        <v>0</v>
      </c>
      <c r="H28" s="237"/>
      <c r="I28" s="67">
        <f>SUMIFS($K$7:$K$21,$B$7:$B$21,F28)</f>
        <v>0</v>
      </c>
      <c r="J28" s="137"/>
      <c r="K28" s="137"/>
    </row>
    <row r="29" spans="1:11" s="30" customFormat="1" ht="18" customHeight="1">
      <c r="A29" s="4"/>
      <c r="B29" s="73"/>
      <c r="C29" s="73"/>
      <c r="D29" s="73"/>
      <c r="E29" s="28"/>
      <c r="F29" s="54" t="s">
        <v>27</v>
      </c>
      <c r="G29" s="236">
        <f>COUNTIF($B$7:$B$21,"COMBO UTM-SPM-PMT")</f>
        <v>0</v>
      </c>
      <c r="H29" s="237"/>
      <c r="I29" s="67">
        <f>SUMIFS($K$7:$K$21,$B$7:$B$21,F29)</f>
        <v>0</v>
      </c>
      <c r="J29" s="137"/>
      <c r="K29" s="137"/>
    </row>
    <row r="30" spans="1:11" s="30" customFormat="1" ht="18" customHeight="1">
      <c r="A30" s="4"/>
      <c r="B30" s="73"/>
      <c r="C30" s="73"/>
      <c r="D30" s="73"/>
      <c r="E30" s="28"/>
      <c r="F30" s="54" t="s">
        <v>29</v>
      </c>
      <c r="G30" s="236">
        <f>COUNTIF($B$7:$B$21,"COMBO UTM-SPM-PRM-PNC")</f>
        <v>0</v>
      </c>
      <c r="H30" s="237"/>
      <c r="I30" s="67">
        <f>SUMIFS($K$7:$K$21,$B$7:$B$21,F30)</f>
        <v>0</v>
      </c>
      <c r="J30" s="137"/>
      <c r="K30" s="137"/>
    </row>
    <row r="31" spans="1:11" s="30" customFormat="1" ht="18" customHeight="1">
      <c r="A31" s="4"/>
      <c r="B31" s="73"/>
      <c r="C31" s="73"/>
      <c r="D31" s="73"/>
      <c r="E31" s="28"/>
      <c r="F31" s="54" t="s">
        <v>30</v>
      </c>
      <c r="G31" s="236">
        <f>COUNTIF($B$7:$B$21,"COMBO PRM-PNC")</f>
        <v>1</v>
      </c>
      <c r="H31" s="237"/>
      <c r="I31" s="67">
        <v>0</v>
      </c>
      <c r="J31" s="137"/>
      <c r="K31" s="137"/>
    </row>
    <row r="32" spans="1:11" s="30" customFormat="1" ht="18" customHeight="1">
      <c r="A32" s="4"/>
      <c r="B32" s="73"/>
      <c r="C32" s="73"/>
      <c r="D32" s="73"/>
      <c r="E32" s="28"/>
      <c r="F32" s="54" t="s">
        <v>33</v>
      </c>
      <c r="G32" s="236">
        <f>COUNTIF($B$7:$B$21,"COMBO ALL DIV")</f>
        <v>3</v>
      </c>
      <c r="H32" s="237"/>
      <c r="I32" s="67">
        <f>SUMIFS($K$7:$K$21,$B$7:$B$21,F32)</f>
        <v>155000000</v>
      </c>
      <c r="J32" s="137"/>
      <c r="K32" s="137"/>
    </row>
    <row r="33" spans="1:11" s="30" customFormat="1" ht="18" customHeight="1">
      <c r="A33" s="4"/>
      <c r="B33" s="73"/>
      <c r="C33" s="73"/>
      <c r="D33" s="73"/>
      <c r="E33" s="28"/>
      <c r="F33" s="54" t="s">
        <v>23</v>
      </c>
      <c r="G33" s="236">
        <f>COUNTIF($B$7:$B$21,"PNC")</f>
        <v>0</v>
      </c>
      <c r="H33" s="237"/>
      <c r="I33" s="67">
        <f>J19</f>
        <v>349000000</v>
      </c>
      <c r="J33" s="137"/>
      <c r="K33" s="137"/>
    </row>
    <row r="34" spans="1:11" s="30" customFormat="1" ht="18" customHeight="1">
      <c r="A34" s="4"/>
      <c r="B34" s="73"/>
      <c r="C34" s="73"/>
      <c r="D34" s="73"/>
      <c r="E34" s="28"/>
      <c r="F34" s="53" t="s">
        <v>56</v>
      </c>
      <c r="G34" s="234">
        <f>SUM(G24:H33)</f>
        <v>8</v>
      </c>
      <c r="H34" s="235"/>
      <c r="I34" s="67">
        <f>SUM(I24:I33)</f>
        <v>799000000</v>
      </c>
      <c r="J34" s="137"/>
      <c r="K34" s="137"/>
    </row>
    <row r="35" spans="1:11" s="30" customFormat="1" ht="18" customHeight="1">
      <c r="A35" s="28"/>
      <c r="B35" s="73"/>
      <c r="C35" s="73"/>
      <c r="D35" s="73"/>
      <c r="E35" s="28"/>
      <c r="F35" s="28"/>
      <c r="G35" s="28"/>
      <c r="H35" s="28"/>
      <c r="I35" s="29"/>
      <c r="J35" s="136"/>
      <c r="K35" s="157"/>
    </row>
    <row r="36" spans="1:11" s="27" customFormat="1" ht="18" customHeight="1">
      <c r="A36" s="2"/>
      <c r="B36" s="73"/>
      <c r="C36" s="73"/>
      <c r="D36" s="73"/>
      <c r="E36" s="28"/>
      <c r="F36" s="53" t="s">
        <v>3</v>
      </c>
      <c r="G36" s="56" t="s">
        <v>56</v>
      </c>
      <c r="H36" s="56" t="s">
        <v>57</v>
      </c>
      <c r="I36" s="68" t="s">
        <v>58</v>
      </c>
      <c r="J36" s="151"/>
      <c r="K36" s="151"/>
    </row>
    <row r="37" spans="1:11" s="30" customFormat="1" ht="18" customHeight="1">
      <c r="A37" s="4"/>
      <c r="B37" s="73"/>
      <c r="C37" s="73"/>
      <c r="D37" s="73"/>
      <c r="E37" s="28"/>
      <c r="F37" s="54" t="s">
        <v>10</v>
      </c>
      <c r="G37" s="55">
        <f>COUNTIF($G$7:$G$21,"PS")</f>
        <v>6</v>
      </c>
      <c r="H37" s="57">
        <f>COUNTIF($D$7:$D$21,"PS TERISI")</f>
        <v>5</v>
      </c>
      <c r="I37" s="69">
        <f t="shared" ref="I37:I42" si="1">G37-H37</f>
        <v>1</v>
      </c>
      <c r="J37" s="152"/>
      <c r="K37" s="151"/>
    </row>
    <row r="38" spans="1:11" s="30" customFormat="1" ht="18" customHeight="1">
      <c r="A38" s="4"/>
      <c r="B38" s="73"/>
      <c r="C38" s="73"/>
      <c r="D38" s="73"/>
      <c r="E38" s="28"/>
      <c r="F38" s="54" t="s">
        <v>100</v>
      </c>
      <c r="G38" s="55">
        <f>COUNTIF($G$7:$G$21,"AE")</f>
        <v>0</v>
      </c>
      <c r="H38" s="57">
        <f>COUNTIF($D$7:$D$21,"AE TERISI")</f>
        <v>0</v>
      </c>
      <c r="I38" s="69">
        <f t="shared" si="1"/>
        <v>0</v>
      </c>
      <c r="J38" s="152"/>
      <c r="K38" s="151"/>
    </row>
    <row r="39" spans="1:11" s="30" customFormat="1" ht="18" customHeight="1">
      <c r="A39" s="4"/>
      <c r="B39" s="73"/>
      <c r="C39" s="73"/>
      <c r="D39" s="73"/>
      <c r="E39" s="28"/>
      <c r="F39" s="54" t="s">
        <v>49</v>
      </c>
      <c r="G39" s="55">
        <f>COUNTIF($G$7:$G$21,"AM")</f>
        <v>1</v>
      </c>
      <c r="H39" s="57">
        <f>COUNTIF($D$7:$D$21,"AM TERISI")</f>
        <v>0</v>
      </c>
      <c r="I39" s="69">
        <f t="shared" si="1"/>
        <v>1</v>
      </c>
      <c r="J39" s="152"/>
      <c r="K39" s="151"/>
    </row>
    <row r="40" spans="1:11" s="30" customFormat="1" ht="18" customHeight="1">
      <c r="A40" s="4"/>
      <c r="B40" s="73"/>
      <c r="C40" s="73"/>
      <c r="D40" s="73"/>
      <c r="E40" s="28"/>
      <c r="F40" s="54" t="s">
        <v>17</v>
      </c>
      <c r="G40" s="55">
        <f>COUNTIF($G$7:$G$21,"DM")</f>
        <v>3</v>
      </c>
      <c r="H40" s="57">
        <f>COUNTIF($D$7:$D$21,"DM TERISI")</f>
        <v>1</v>
      </c>
      <c r="I40" s="69">
        <f t="shared" si="1"/>
        <v>2</v>
      </c>
      <c r="J40" s="152"/>
      <c r="K40" s="151"/>
    </row>
    <row r="41" spans="1:11" s="30" customFormat="1" ht="18" customHeight="1">
      <c r="A41" s="4"/>
      <c r="B41" s="73"/>
      <c r="C41" s="73"/>
      <c r="D41" s="73"/>
      <c r="E41" s="28"/>
      <c r="F41" s="54" t="s">
        <v>32</v>
      </c>
      <c r="G41" s="55">
        <f>COUNTIF($G$7:$G$21,"RSM")</f>
        <v>0</v>
      </c>
      <c r="H41" s="57">
        <f>COUNTIF($D$7:$D$21,"RSM TERISI")</f>
        <v>0</v>
      </c>
      <c r="I41" s="69">
        <f t="shared" si="1"/>
        <v>0</v>
      </c>
      <c r="J41" s="152"/>
      <c r="K41" s="151"/>
    </row>
    <row r="42" spans="1:11" s="30" customFormat="1" ht="18" customHeight="1">
      <c r="A42" s="4"/>
      <c r="B42" s="73"/>
      <c r="C42" s="73"/>
      <c r="D42" s="73"/>
      <c r="E42" s="28"/>
      <c r="F42" s="54" t="s">
        <v>52</v>
      </c>
      <c r="G42" s="55">
        <f>COUNTIF($G$7:$G$21,"BCO")</f>
        <v>1</v>
      </c>
      <c r="H42" s="57">
        <f>COUNTIF($D$7:$D$21,"BCO TERISI")</f>
        <v>1</v>
      </c>
      <c r="I42" s="69">
        <f t="shared" si="1"/>
        <v>0</v>
      </c>
      <c r="J42" s="152"/>
      <c r="K42" s="151"/>
    </row>
    <row r="43" spans="1:11" s="30" customFormat="1" ht="18" customHeight="1">
      <c r="A43" s="4"/>
      <c r="B43" s="73"/>
      <c r="C43" s="73"/>
      <c r="D43" s="73"/>
      <c r="E43" s="28"/>
      <c r="F43" s="53" t="s">
        <v>56</v>
      </c>
      <c r="G43" s="56">
        <f>SUM(G37:G42)</f>
        <v>11</v>
      </c>
      <c r="H43" s="56">
        <f>SUM(H37:H42)</f>
        <v>7</v>
      </c>
      <c r="I43" s="68">
        <f>SUM(I37:I42)</f>
        <v>4</v>
      </c>
      <c r="J43" s="151"/>
      <c r="K43" s="151"/>
    </row>
    <row r="44" spans="1:11" s="30" customFormat="1" ht="18" customHeight="1">
      <c r="A44" s="4"/>
      <c r="B44" s="4"/>
      <c r="C44" s="4"/>
      <c r="D44" s="4"/>
      <c r="E44" s="28"/>
      <c r="F44" s="28"/>
      <c r="G44" s="28"/>
      <c r="H44" s="58">
        <f>H43/G43</f>
        <v>0.63636363636363635</v>
      </c>
      <c r="I44" s="70">
        <f>I43/G43</f>
        <v>0.36363636363636365</v>
      </c>
      <c r="J44" s="151"/>
      <c r="K44" s="151"/>
    </row>
  </sheetData>
  <mergeCells count="23">
    <mergeCell ref="G23:H23"/>
    <mergeCell ref="G34:H34"/>
    <mergeCell ref="G33:H33"/>
    <mergeCell ref="G32:H32"/>
    <mergeCell ref="G31:H31"/>
    <mergeCell ref="G30:H30"/>
    <mergeCell ref="G29:H29"/>
    <mergeCell ref="G28:H28"/>
    <mergeCell ref="G27:H27"/>
    <mergeCell ref="G26:H26"/>
    <mergeCell ref="G25:H25"/>
    <mergeCell ref="G24:H24"/>
    <mergeCell ref="B4:B5"/>
    <mergeCell ref="D4:D5"/>
    <mergeCell ref="F4:F5"/>
    <mergeCell ref="G4:G5"/>
    <mergeCell ref="C4:C5"/>
    <mergeCell ref="F1:K1"/>
    <mergeCell ref="F2:K2"/>
    <mergeCell ref="H4:H5"/>
    <mergeCell ref="I4:I5"/>
    <mergeCell ref="J4:J5"/>
    <mergeCell ref="K4:K5"/>
  </mergeCells>
  <conditionalFormatting sqref="D4">
    <cfRule type="duplicateValues" dxfId="10" priority="2"/>
  </conditionalFormatting>
  <conditionalFormatting sqref="F4">
    <cfRule type="duplicateValues" dxfId="9" priority="5"/>
  </conditionalFormatting>
  <conditionalFormatting sqref="F7:F21">
    <cfRule type="duplicateValues" dxfId="8" priority="10"/>
  </conditionalFormatting>
  <conditionalFormatting sqref="F21">
    <cfRule type="duplicateValues" dxfId="7" priority="6"/>
  </conditionalFormatting>
  <conditionalFormatting sqref="F24:F33">
    <cfRule type="duplicateValues" dxfId="6" priority="3"/>
  </conditionalFormatting>
  <printOptions horizontalCentered="1"/>
  <pageMargins left="0.27559055118110198" right="0.196850393700787" top="0.47244094488188998" bottom="0.43307086614173201" header="0.31496062992126" footer="0.31496062992126"/>
  <pageSetup paperSize="9" scale="72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NAD!$B$5:$B$13</xm:f>
          </x14:formula1>
          <xm:sqref>B7:B21</xm:sqref>
        </x14:dataValidation>
        <x14:dataValidation type="list" allowBlank="1" showInputMessage="1" showErrorMessage="1" xr:uid="{00000000-0002-0000-0900-000001000000}">
          <x14:formula1>
            <xm:f>NAD!$D$5:$D$16</xm:f>
          </x14:formula1>
          <xm:sqref>D7:D21</xm:sqref>
        </x14:dataValidation>
        <x14:dataValidation type="list" allowBlank="1" showInputMessage="1" showErrorMessage="1" xr:uid="{989A74FA-466D-4F59-A710-75326BEBFEF1}">
          <x14:formula1>
            <xm:f>NAD!$C$5:$C$10</xm:f>
          </x14:formula1>
          <xm:sqref>C7:C21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L58"/>
  <sheetViews>
    <sheetView showGridLines="0" zoomScale="70" zoomScaleNormal="70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F1" sqref="F1:K20"/>
    </sheetView>
  </sheetViews>
  <sheetFormatPr defaultColWidth="3.5703125" defaultRowHeight="18" customHeight="1"/>
  <cols>
    <col min="1" max="1" width="2.5703125" style="28" customWidth="1"/>
    <col min="2" max="2" width="20.5703125" style="2" customWidth="1"/>
    <col min="3" max="4" width="11.5703125" style="2" customWidth="1"/>
    <col min="5" max="5" width="2.5703125" style="28" customWidth="1"/>
    <col min="6" max="6" width="35.5703125" style="28" customWidth="1"/>
    <col min="7" max="7" width="10.5703125" style="28" customWidth="1"/>
    <col min="8" max="8" width="35.5703125" style="28" customWidth="1"/>
    <col min="9" max="9" width="22.140625" style="29" bestFit="1" customWidth="1"/>
    <col min="10" max="10" width="22.140625" style="136" bestFit="1" customWidth="1"/>
    <col min="11" max="11" width="24.28515625" style="157" bestFit="1" customWidth="1"/>
    <col min="12" max="16384" width="3.5703125" style="30"/>
  </cols>
  <sheetData>
    <row r="1" spans="1:12" ht="24.95" customHeight="1">
      <c r="F1" s="224" t="s">
        <v>365</v>
      </c>
      <c r="G1" s="224"/>
      <c r="H1" s="224"/>
      <c r="I1" s="224"/>
      <c r="J1" s="224"/>
      <c r="K1" s="224"/>
    </row>
    <row r="2" spans="1:12" ht="24.95" customHeight="1">
      <c r="B2" s="4"/>
      <c r="C2" s="4"/>
      <c r="D2" s="4"/>
      <c r="F2" s="224" t="s">
        <v>320</v>
      </c>
      <c r="G2" s="224"/>
      <c r="H2" s="224"/>
      <c r="I2" s="224"/>
      <c r="J2" s="224"/>
      <c r="K2" s="224"/>
    </row>
    <row r="3" spans="1:12" ht="18" customHeight="1">
      <c r="B3" s="127"/>
      <c r="C3" s="127"/>
      <c r="D3" s="127"/>
      <c r="F3" s="31"/>
      <c r="G3" s="31"/>
      <c r="H3" s="32"/>
      <c r="I3" s="59"/>
      <c r="J3" s="59"/>
      <c r="K3" s="141"/>
    </row>
    <row r="4" spans="1:12" ht="19.5" customHeight="1">
      <c r="B4" s="220" t="s">
        <v>0</v>
      </c>
      <c r="C4" s="220" t="s">
        <v>296</v>
      </c>
      <c r="D4" s="220" t="s">
        <v>1</v>
      </c>
      <c r="F4" s="222" t="s">
        <v>2</v>
      </c>
      <c r="G4" s="222" t="s">
        <v>3</v>
      </c>
      <c r="H4" s="222" t="s">
        <v>4</v>
      </c>
      <c r="I4" s="225" t="s">
        <v>284</v>
      </c>
      <c r="J4" s="227" t="s">
        <v>295</v>
      </c>
      <c r="K4" s="227" t="s">
        <v>294</v>
      </c>
    </row>
    <row r="5" spans="1:12" ht="20.100000000000001" customHeight="1">
      <c r="B5" s="221"/>
      <c r="C5" s="221"/>
      <c r="D5" s="221"/>
      <c r="F5" s="223"/>
      <c r="G5" s="223"/>
      <c r="H5" s="223"/>
      <c r="I5" s="226"/>
      <c r="J5" s="228"/>
      <c r="K5" s="228"/>
    </row>
    <row r="6" spans="1:12" ht="9.9499999999999993" customHeight="1">
      <c r="A6" s="28" t="s">
        <v>6</v>
      </c>
      <c r="B6" s="33"/>
      <c r="C6" s="33"/>
      <c r="D6" s="33"/>
      <c r="H6" s="34"/>
      <c r="J6" s="29"/>
      <c r="K6" s="142"/>
    </row>
    <row r="7" spans="1:12" ht="18" customHeight="1">
      <c r="A7" s="28" t="s">
        <v>6</v>
      </c>
      <c r="B7" s="35" t="s">
        <v>26</v>
      </c>
      <c r="C7" s="35" t="s">
        <v>7</v>
      </c>
      <c r="D7" s="35" t="s">
        <v>8</v>
      </c>
      <c r="F7" s="36" t="s">
        <v>247</v>
      </c>
      <c r="G7" s="36" t="s">
        <v>10</v>
      </c>
      <c r="H7" s="37" t="s">
        <v>372</v>
      </c>
      <c r="I7" s="60">
        <v>90000000</v>
      </c>
      <c r="J7" s="60"/>
      <c r="K7" s="143">
        <f>SUM(I7:J7)</f>
        <v>90000000</v>
      </c>
      <c r="L7" s="30" t="s">
        <v>362</v>
      </c>
    </row>
    <row r="8" spans="1:12" ht="18" customHeight="1">
      <c r="A8" s="28" t="s">
        <v>6</v>
      </c>
      <c r="B8" s="42" t="s">
        <v>30</v>
      </c>
      <c r="C8" s="35" t="s">
        <v>21</v>
      </c>
      <c r="D8" s="42" t="s">
        <v>270</v>
      </c>
      <c r="E8" s="182"/>
      <c r="F8" s="81" t="s">
        <v>312</v>
      </c>
      <c r="G8" s="81" t="s">
        <v>100</v>
      </c>
      <c r="H8" s="82" t="s">
        <v>313</v>
      </c>
      <c r="I8" s="86">
        <v>40000000</v>
      </c>
      <c r="J8" s="86">
        <v>349000000</v>
      </c>
      <c r="K8" s="149">
        <f>SUM(I8:J8)</f>
        <v>389000000</v>
      </c>
    </row>
    <row r="9" spans="1:12" ht="18" customHeight="1">
      <c r="A9" s="28" t="s">
        <v>6</v>
      </c>
      <c r="B9" s="42"/>
      <c r="C9" s="35" t="s">
        <v>7</v>
      </c>
      <c r="D9" s="35" t="s">
        <v>20</v>
      </c>
      <c r="F9" s="43" t="s">
        <v>315</v>
      </c>
      <c r="G9" s="44" t="s">
        <v>17</v>
      </c>
      <c r="H9" s="45" t="s">
        <v>252</v>
      </c>
      <c r="I9" s="63">
        <f>SUM(I7:I8)</f>
        <v>130000000</v>
      </c>
      <c r="J9" s="63">
        <f>SUM(J7:J8)</f>
        <v>349000000</v>
      </c>
      <c r="K9" s="63">
        <f>SUM(I9:J9)</f>
        <v>479000000</v>
      </c>
    </row>
    <row r="10" spans="1:12" ht="18" customHeight="1">
      <c r="A10" s="28" t="s">
        <v>6</v>
      </c>
      <c r="B10" s="35"/>
      <c r="C10" s="35"/>
      <c r="D10" s="35"/>
      <c r="F10" s="46"/>
      <c r="I10" s="135"/>
      <c r="J10" s="150"/>
      <c r="K10" s="144"/>
    </row>
    <row r="11" spans="1:12" ht="18" customHeight="1">
      <c r="A11" s="28" t="s">
        <v>6</v>
      </c>
      <c r="B11" s="35" t="s">
        <v>26</v>
      </c>
      <c r="C11" s="35" t="s">
        <v>7</v>
      </c>
      <c r="D11" s="35" t="s">
        <v>8</v>
      </c>
      <c r="F11" s="36" t="s">
        <v>248</v>
      </c>
      <c r="G11" s="38" t="s">
        <v>10</v>
      </c>
      <c r="H11" s="39" t="s">
        <v>249</v>
      </c>
      <c r="I11" s="61">
        <v>70000000</v>
      </c>
      <c r="J11" s="61"/>
      <c r="K11" s="155">
        <f t="shared" ref="K11:K20" si="0">SUM(I11:J11)</f>
        <v>70000000</v>
      </c>
    </row>
    <row r="12" spans="1:12" ht="18" customHeight="1">
      <c r="A12" s="28" t="s">
        <v>6</v>
      </c>
      <c r="B12" s="35" t="s">
        <v>26</v>
      </c>
      <c r="C12" s="35" t="s">
        <v>7</v>
      </c>
      <c r="D12" s="35" t="s">
        <v>8</v>
      </c>
      <c r="F12" s="36" t="s">
        <v>250</v>
      </c>
      <c r="G12" s="40" t="s">
        <v>10</v>
      </c>
      <c r="H12" s="41" t="s">
        <v>251</v>
      </c>
      <c r="I12" s="62">
        <v>25000000</v>
      </c>
      <c r="J12" s="62"/>
      <c r="K12" s="156">
        <f t="shared" si="0"/>
        <v>25000000</v>
      </c>
    </row>
    <row r="13" spans="1:12" ht="18" customHeight="1">
      <c r="A13" s="28" t="s">
        <v>6</v>
      </c>
      <c r="B13" s="42" t="s">
        <v>30</v>
      </c>
      <c r="C13" s="42" t="s">
        <v>21</v>
      </c>
      <c r="D13" s="42" t="s">
        <v>270</v>
      </c>
      <c r="E13" s="182"/>
      <c r="F13" s="81" t="s">
        <v>314</v>
      </c>
      <c r="G13" s="81" t="s">
        <v>100</v>
      </c>
      <c r="H13" s="82" t="s">
        <v>38</v>
      </c>
      <c r="I13" s="86">
        <v>25000000</v>
      </c>
      <c r="J13" s="86">
        <v>349000000</v>
      </c>
      <c r="K13" s="149">
        <f t="shared" si="0"/>
        <v>374000000</v>
      </c>
    </row>
    <row r="14" spans="1:12" ht="18" customHeight="1">
      <c r="A14" s="28" t="s">
        <v>6</v>
      </c>
      <c r="B14" s="42"/>
      <c r="C14" s="42" t="s">
        <v>7</v>
      </c>
      <c r="D14" s="35" t="s">
        <v>15</v>
      </c>
      <c r="F14" s="43" t="s">
        <v>316</v>
      </c>
      <c r="G14" s="44" t="s">
        <v>17</v>
      </c>
      <c r="H14" s="45" t="s">
        <v>18</v>
      </c>
      <c r="I14" s="63">
        <f>SUM(I11:I13)</f>
        <v>120000000</v>
      </c>
      <c r="J14" s="63">
        <f>SUM(J11:J13)</f>
        <v>349000000</v>
      </c>
      <c r="K14" s="63">
        <f t="shared" si="0"/>
        <v>469000000</v>
      </c>
    </row>
    <row r="15" spans="1:12" ht="18" customHeight="1">
      <c r="A15" s="28" t="s">
        <v>6</v>
      </c>
      <c r="B15" s="35"/>
      <c r="C15" s="35"/>
      <c r="D15" s="35"/>
      <c r="F15" s="46"/>
      <c r="I15" s="135"/>
      <c r="J15" s="150"/>
      <c r="K15" s="144"/>
    </row>
    <row r="16" spans="1:12" ht="18" customHeight="1">
      <c r="A16" s="28" t="s">
        <v>6</v>
      </c>
      <c r="B16" s="35" t="s">
        <v>19</v>
      </c>
      <c r="C16" s="35" t="s">
        <v>19</v>
      </c>
      <c r="D16" s="35" t="s">
        <v>8</v>
      </c>
      <c r="F16" s="47" t="s">
        <v>304</v>
      </c>
      <c r="G16" s="47" t="s">
        <v>10</v>
      </c>
      <c r="H16" s="48" t="s">
        <v>340</v>
      </c>
      <c r="I16" s="64">
        <v>55000000</v>
      </c>
      <c r="J16" s="64"/>
      <c r="K16" s="148">
        <f t="shared" si="0"/>
        <v>55000000</v>
      </c>
    </row>
    <row r="17" spans="1:11" ht="18" customHeight="1">
      <c r="A17" s="28" t="s">
        <v>6</v>
      </c>
      <c r="B17" s="35" t="s">
        <v>19</v>
      </c>
      <c r="C17" s="35" t="s">
        <v>19</v>
      </c>
      <c r="D17" s="35" t="s">
        <v>14</v>
      </c>
      <c r="F17" s="47" t="s">
        <v>253</v>
      </c>
      <c r="G17" s="47" t="s">
        <v>10</v>
      </c>
      <c r="H17" s="48" t="s">
        <v>254</v>
      </c>
      <c r="I17" s="64">
        <v>20000000</v>
      </c>
      <c r="J17" s="64"/>
      <c r="K17" s="148">
        <f t="shared" si="0"/>
        <v>20000000</v>
      </c>
    </row>
    <row r="18" spans="1:11" ht="18" customHeight="1">
      <c r="A18" s="28" t="s">
        <v>6</v>
      </c>
      <c r="B18" s="42"/>
      <c r="C18" s="35" t="s">
        <v>19</v>
      </c>
      <c r="D18" s="35" t="s">
        <v>20</v>
      </c>
      <c r="F18" s="49" t="s">
        <v>255</v>
      </c>
      <c r="G18" s="49" t="s">
        <v>17</v>
      </c>
      <c r="H18" s="50" t="s">
        <v>256</v>
      </c>
      <c r="I18" s="65">
        <f>SUM(I16:I17)</f>
        <v>75000000</v>
      </c>
      <c r="J18" s="65">
        <f>SUM(J16:J17)</f>
        <v>0</v>
      </c>
      <c r="K18" s="65">
        <f t="shared" si="0"/>
        <v>75000000</v>
      </c>
    </row>
    <row r="19" spans="1:11" ht="18" customHeight="1">
      <c r="A19" s="28" t="s">
        <v>6</v>
      </c>
      <c r="B19" s="35"/>
      <c r="C19" s="35"/>
      <c r="D19" s="35"/>
      <c r="F19" s="46"/>
      <c r="I19" s="135"/>
      <c r="J19" s="150"/>
      <c r="K19" s="144"/>
    </row>
    <row r="20" spans="1:11" ht="24.95" customHeight="1">
      <c r="A20" s="28" t="s">
        <v>6</v>
      </c>
      <c r="B20" s="35"/>
      <c r="C20" s="35" t="s">
        <v>52</v>
      </c>
      <c r="D20" s="35" t="s">
        <v>31</v>
      </c>
      <c r="F20" s="51" t="s">
        <v>257</v>
      </c>
      <c r="G20" s="51" t="s">
        <v>59</v>
      </c>
      <c r="H20" s="52" t="s">
        <v>258</v>
      </c>
      <c r="I20" s="66">
        <f>I9+I14+I18</f>
        <v>325000000</v>
      </c>
      <c r="J20" s="66">
        <f>J9+J14+J18</f>
        <v>698000000</v>
      </c>
      <c r="K20" s="66">
        <f t="shared" si="0"/>
        <v>1023000000</v>
      </c>
    </row>
    <row r="21" spans="1:11" ht="18" customHeight="1">
      <c r="B21" s="28"/>
      <c r="C21" s="28"/>
      <c r="D21" s="28"/>
    </row>
    <row r="22" spans="1:11" ht="18" customHeight="1">
      <c r="B22" s="28"/>
      <c r="C22" s="28"/>
      <c r="D22" s="28"/>
    </row>
    <row r="23" spans="1:11" ht="18" customHeight="1">
      <c r="B23" s="28"/>
      <c r="C23" s="28"/>
      <c r="D23" s="28"/>
    </row>
    <row r="24" spans="1:11" ht="18" customHeight="1">
      <c r="B24" s="28"/>
      <c r="C24" s="28"/>
      <c r="D24" s="28"/>
    </row>
    <row r="25" spans="1:11" ht="18" customHeight="1">
      <c r="B25" s="28"/>
      <c r="C25" s="28"/>
      <c r="D25" s="28"/>
    </row>
    <row r="26" spans="1:11" ht="18" customHeight="1">
      <c r="B26" s="28"/>
      <c r="C26" s="28"/>
      <c r="D26" s="28"/>
    </row>
    <row r="27" spans="1:11" ht="18" customHeight="1">
      <c r="B27" s="28"/>
      <c r="C27" s="28"/>
      <c r="D27" s="28"/>
    </row>
    <row r="28" spans="1:11" ht="18" customHeight="1">
      <c r="B28" s="28"/>
      <c r="C28" s="28"/>
      <c r="D28" s="28"/>
    </row>
    <row r="29" spans="1:11" ht="18" customHeight="1">
      <c r="B29" s="28"/>
      <c r="C29" s="28"/>
      <c r="D29" s="28"/>
    </row>
    <row r="30" spans="1:11" ht="18" customHeight="1">
      <c r="B30" s="28"/>
      <c r="C30" s="28"/>
      <c r="D30" s="28"/>
    </row>
    <row r="31" spans="1:11" ht="18" customHeight="1">
      <c r="B31" s="28"/>
      <c r="C31" s="28"/>
      <c r="D31" s="28"/>
    </row>
    <row r="32" spans="1:11" ht="18" customHeight="1">
      <c r="B32" s="28"/>
      <c r="C32" s="28"/>
      <c r="D32" s="28"/>
    </row>
    <row r="33" spans="1:11" ht="18" customHeight="1">
      <c r="B33" s="28"/>
      <c r="C33" s="28"/>
      <c r="D33" s="28"/>
    </row>
    <row r="34" spans="1:11" ht="18" customHeight="1">
      <c r="B34" s="28"/>
      <c r="C34" s="28"/>
      <c r="D34" s="28"/>
    </row>
    <row r="35" spans="1:11" ht="18" customHeight="1">
      <c r="B35" s="28"/>
      <c r="C35" s="28"/>
      <c r="D35" s="28"/>
    </row>
    <row r="36" spans="1:11" ht="18" customHeight="1">
      <c r="B36" s="28"/>
      <c r="C36" s="28"/>
      <c r="D36" s="28"/>
    </row>
    <row r="37" spans="1:11" s="27" customFormat="1" ht="18" customHeight="1">
      <c r="A37" s="2"/>
      <c r="B37" s="4"/>
      <c r="C37" s="4"/>
      <c r="D37" s="4"/>
      <c r="E37" s="28"/>
      <c r="F37" s="53" t="s">
        <v>54</v>
      </c>
      <c r="G37" s="229" t="s">
        <v>55</v>
      </c>
      <c r="H37" s="229"/>
      <c r="I37" s="67" t="s">
        <v>5</v>
      </c>
      <c r="J37" s="137"/>
      <c r="K37" s="137"/>
    </row>
    <row r="38" spans="1:11" ht="18" customHeight="1">
      <c r="A38" s="4"/>
      <c r="B38" s="4"/>
      <c r="C38" s="4"/>
      <c r="D38" s="4"/>
      <c r="F38" s="54" t="s">
        <v>7</v>
      </c>
      <c r="G38" s="230">
        <f>COUNTIF($B$7:$B$20,"UTM")</f>
        <v>0</v>
      </c>
      <c r="H38" s="230"/>
      <c r="I38" s="67">
        <f>SUMIFS($K$7:$K$20,$B$7:$B$20,F38)</f>
        <v>0</v>
      </c>
      <c r="J38" s="137"/>
      <c r="K38" s="137"/>
    </row>
    <row r="39" spans="1:11" ht="18" customHeight="1">
      <c r="A39" s="4"/>
      <c r="B39" s="4"/>
      <c r="C39" s="4"/>
      <c r="D39" s="4"/>
      <c r="F39" s="54" t="s">
        <v>13</v>
      </c>
      <c r="G39" s="230">
        <f>COUNTIF($B$7:$B$20,"SPM")</f>
        <v>0</v>
      </c>
      <c r="H39" s="230"/>
      <c r="I39" s="67">
        <f t="shared" ref="I39:I46" si="1">SUMIFS($K$7:$K$20,$B$7:$B$20,F39)</f>
        <v>0</v>
      </c>
      <c r="J39" s="137"/>
      <c r="K39" s="137"/>
    </row>
    <row r="40" spans="1:11" ht="18" customHeight="1">
      <c r="A40" s="4"/>
      <c r="B40" s="4"/>
      <c r="C40" s="4"/>
      <c r="D40" s="4"/>
      <c r="F40" s="54" t="s">
        <v>19</v>
      </c>
      <c r="G40" s="230">
        <f>COUNTIF($B$7:$B$20,"PMT")</f>
        <v>2</v>
      </c>
      <c r="H40" s="230"/>
      <c r="I40" s="67">
        <f t="shared" si="1"/>
        <v>75000000</v>
      </c>
      <c r="J40" s="137"/>
      <c r="K40" s="137"/>
    </row>
    <row r="41" spans="1:11" ht="18" customHeight="1">
      <c r="A41" s="4"/>
      <c r="B41" s="4"/>
      <c r="C41" s="4"/>
      <c r="D41" s="4"/>
      <c r="F41" s="54" t="s">
        <v>21</v>
      </c>
      <c r="G41" s="230">
        <f>COUNTIF($B$7:$B$20,"PRM")</f>
        <v>0</v>
      </c>
      <c r="H41" s="230"/>
      <c r="I41" s="67">
        <f>I8+I13</f>
        <v>65000000</v>
      </c>
      <c r="J41" s="137"/>
      <c r="K41" s="137"/>
    </row>
    <row r="42" spans="1:11" ht="18" customHeight="1">
      <c r="A42" s="4"/>
      <c r="B42" s="4"/>
      <c r="C42" s="4"/>
      <c r="D42" s="4"/>
      <c r="F42" s="54" t="s">
        <v>26</v>
      </c>
      <c r="G42" s="230">
        <f>COUNTIF($B$7:$B$20,"COMBO UTM-SPM")</f>
        <v>3</v>
      </c>
      <c r="H42" s="230"/>
      <c r="I42" s="67">
        <f t="shared" si="1"/>
        <v>185000000</v>
      </c>
      <c r="J42" s="137"/>
      <c r="K42" s="137"/>
    </row>
    <row r="43" spans="1:11" ht="18" customHeight="1">
      <c r="A43" s="4"/>
      <c r="B43" s="4"/>
      <c r="C43" s="4"/>
      <c r="D43" s="4"/>
      <c r="F43" s="54" t="s">
        <v>27</v>
      </c>
      <c r="G43" s="230">
        <f>COUNTIF($B$7:$B$20,"COMBO UTM-SPM-PMT")</f>
        <v>0</v>
      </c>
      <c r="H43" s="230"/>
      <c r="I43" s="67">
        <f t="shared" si="1"/>
        <v>0</v>
      </c>
      <c r="J43" s="137"/>
      <c r="K43" s="137"/>
    </row>
    <row r="44" spans="1:11" ht="18" customHeight="1">
      <c r="A44" s="4"/>
      <c r="B44" s="4"/>
      <c r="C44" s="4"/>
      <c r="D44" s="4"/>
      <c r="F44" s="54" t="s">
        <v>29</v>
      </c>
      <c r="G44" s="230">
        <f>COUNTIF($B$7:$B$20,"COMBO UTM-SPM-PRM-PNC")</f>
        <v>0</v>
      </c>
      <c r="H44" s="230"/>
      <c r="I44" s="67">
        <f t="shared" si="1"/>
        <v>0</v>
      </c>
      <c r="J44" s="137"/>
      <c r="K44" s="137"/>
    </row>
    <row r="45" spans="1:11" ht="18" customHeight="1">
      <c r="A45" s="4"/>
      <c r="B45" s="4"/>
      <c r="C45" s="4"/>
      <c r="D45" s="4"/>
      <c r="F45" s="54" t="s">
        <v>30</v>
      </c>
      <c r="G45" s="230">
        <f>COUNTIF($B$7:$B$20,"COMBO PRM-PNC")</f>
        <v>2</v>
      </c>
      <c r="H45" s="230"/>
      <c r="I45" s="67">
        <v>0</v>
      </c>
      <c r="J45" s="137"/>
      <c r="K45" s="137"/>
    </row>
    <row r="46" spans="1:11" ht="18" customHeight="1">
      <c r="A46" s="4"/>
      <c r="B46" s="4"/>
      <c r="C46" s="4"/>
      <c r="D46" s="4"/>
      <c r="F46" s="54" t="s">
        <v>33</v>
      </c>
      <c r="G46" s="230">
        <f>COUNTIF($B$7:$B$20,"COMBO ALL DIV")</f>
        <v>0</v>
      </c>
      <c r="H46" s="230"/>
      <c r="I46" s="67">
        <f t="shared" si="1"/>
        <v>0</v>
      </c>
      <c r="J46" s="137"/>
      <c r="K46" s="137"/>
    </row>
    <row r="47" spans="1:11" ht="18" customHeight="1">
      <c r="A47" s="4"/>
      <c r="B47" s="4"/>
      <c r="C47" s="4"/>
      <c r="D47" s="4"/>
      <c r="F47" s="54" t="s">
        <v>23</v>
      </c>
      <c r="G47" s="230">
        <f>COUNTIF($B$7:$B$20,"PNC")</f>
        <v>0</v>
      </c>
      <c r="H47" s="230"/>
      <c r="I47" s="67">
        <f>J8+J13</f>
        <v>698000000</v>
      </c>
      <c r="J47" s="137"/>
      <c r="K47" s="137"/>
    </row>
    <row r="48" spans="1:11" ht="18" customHeight="1">
      <c r="A48" s="4"/>
      <c r="B48" s="4"/>
      <c r="C48" s="4"/>
      <c r="D48" s="4"/>
      <c r="F48" s="53" t="s">
        <v>56</v>
      </c>
      <c r="G48" s="231">
        <f>SUM(G38:H47)</f>
        <v>7</v>
      </c>
      <c r="H48" s="231"/>
      <c r="I48" s="67">
        <f>SUM(I38:I47)</f>
        <v>1023000000</v>
      </c>
      <c r="J48" s="137"/>
      <c r="K48" s="137"/>
    </row>
    <row r="49" spans="1:11" ht="18" customHeight="1">
      <c r="B49" s="4"/>
      <c r="C49" s="4"/>
      <c r="D49" s="4"/>
    </row>
    <row r="50" spans="1:11" s="27" customFormat="1" ht="18" customHeight="1">
      <c r="A50" s="2"/>
      <c r="B50" s="4"/>
      <c r="C50" s="4"/>
      <c r="D50" s="4"/>
      <c r="E50" s="28"/>
      <c r="F50" s="53" t="s">
        <v>3</v>
      </c>
      <c r="G50" s="56" t="s">
        <v>56</v>
      </c>
      <c r="H50" s="56" t="s">
        <v>57</v>
      </c>
      <c r="I50" s="68" t="s">
        <v>58</v>
      </c>
      <c r="J50" s="151"/>
      <c r="K50" s="151"/>
    </row>
    <row r="51" spans="1:11" ht="18" customHeight="1">
      <c r="A51" s="4"/>
      <c r="B51" s="4"/>
      <c r="C51" s="4"/>
      <c r="D51" s="4"/>
      <c r="F51" s="54" t="s">
        <v>10</v>
      </c>
      <c r="G51" s="55">
        <f>COUNTIF($G$7:$G$20,"PS")</f>
        <v>5</v>
      </c>
      <c r="H51" s="57">
        <f>COUNTIF($D$7:$D$20,"PS TERISI")</f>
        <v>4</v>
      </c>
      <c r="I51" s="69">
        <f t="shared" ref="I51:I56" si="2">G51-H51</f>
        <v>1</v>
      </c>
      <c r="J51" s="152"/>
      <c r="K51" s="151"/>
    </row>
    <row r="52" spans="1:11" ht="18" customHeight="1">
      <c r="A52" s="4"/>
      <c r="B52" s="4"/>
      <c r="C52" s="4"/>
      <c r="D52" s="4"/>
      <c r="F52" s="54" t="s">
        <v>100</v>
      </c>
      <c r="G52" s="55">
        <f>COUNTIF($G$7:$G$20,"AE")</f>
        <v>2</v>
      </c>
      <c r="H52" s="57">
        <f>COUNTIF($D$7:$D$20,"AE TERISI")</f>
        <v>0</v>
      </c>
      <c r="I52" s="69">
        <f t="shared" si="2"/>
        <v>2</v>
      </c>
      <c r="J52" s="152"/>
      <c r="K52" s="151"/>
    </row>
    <row r="53" spans="1:11" ht="18" customHeight="1">
      <c r="A53" s="4"/>
      <c r="B53" s="4"/>
      <c r="C53" s="4"/>
      <c r="D53" s="4"/>
      <c r="F53" s="54" t="s">
        <v>49</v>
      </c>
      <c r="G53" s="55">
        <f>COUNTIF($G$7:$G$20,"AM")</f>
        <v>0</v>
      </c>
      <c r="H53" s="57">
        <f>COUNTIF($D$7:$D$20,"AM TERISI")</f>
        <v>0</v>
      </c>
      <c r="I53" s="69">
        <f t="shared" si="2"/>
        <v>0</v>
      </c>
      <c r="J53" s="152"/>
      <c r="K53" s="151"/>
    </row>
    <row r="54" spans="1:11" ht="18" customHeight="1">
      <c r="A54" s="4"/>
      <c r="B54" s="4"/>
      <c r="C54" s="4"/>
      <c r="D54" s="4"/>
      <c r="F54" s="54" t="s">
        <v>17</v>
      </c>
      <c r="G54" s="55">
        <f>COUNTIF($G$7:$G$20,"DM")</f>
        <v>3</v>
      </c>
      <c r="H54" s="57">
        <f>COUNTIF($D$7:$D$20,"DM TERISI")</f>
        <v>2</v>
      </c>
      <c r="I54" s="69">
        <f t="shared" si="2"/>
        <v>1</v>
      </c>
      <c r="J54" s="152"/>
      <c r="K54" s="151"/>
    </row>
    <row r="55" spans="1:11" ht="18" customHeight="1">
      <c r="A55" s="4"/>
      <c r="B55" s="4"/>
      <c r="C55" s="4"/>
      <c r="D55" s="4"/>
      <c r="F55" s="54" t="s">
        <v>32</v>
      </c>
      <c r="G55" s="55">
        <f>COUNTIF($G$7:$G$20,"RSM")</f>
        <v>0</v>
      </c>
      <c r="H55" s="57">
        <f>COUNTIF($D$7:$D$20,"RSM TERISI")</f>
        <v>0</v>
      </c>
      <c r="I55" s="69">
        <f t="shared" si="2"/>
        <v>0</v>
      </c>
      <c r="J55" s="152"/>
      <c r="K55" s="151"/>
    </row>
    <row r="56" spans="1:11" ht="18" customHeight="1">
      <c r="A56" s="4"/>
      <c r="B56" s="4"/>
      <c r="C56" s="4"/>
      <c r="D56" s="4"/>
      <c r="F56" s="54" t="s">
        <v>52</v>
      </c>
      <c r="G56" s="55">
        <v>1</v>
      </c>
      <c r="H56" s="57">
        <f>COUNTIF($D$7:$D$20,"BCO TERISI")</f>
        <v>1</v>
      </c>
      <c r="I56" s="69">
        <f t="shared" si="2"/>
        <v>0</v>
      </c>
      <c r="J56" s="152"/>
      <c r="K56" s="151"/>
    </row>
    <row r="57" spans="1:11" ht="18" customHeight="1">
      <c r="A57" s="4"/>
      <c r="B57" s="4"/>
      <c r="C57" s="4"/>
      <c r="D57" s="4"/>
      <c r="F57" s="53" t="s">
        <v>56</v>
      </c>
      <c r="G57" s="56">
        <f>SUM(G51:G56)</f>
        <v>11</v>
      </c>
      <c r="H57" s="56">
        <f>SUM(H51:H56)</f>
        <v>7</v>
      </c>
      <c r="I57" s="68">
        <f>SUM(I51:I56)</f>
        <v>4</v>
      </c>
      <c r="J57" s="151"/>
      <c r="K57" s="151"/>
    </row>
    <row r="58" spans="1:11" ht="18" customHeight="1">
      <c r="A58" s="4"/>
      <c r="B58" s="4"/>
      <c r="C58" s="4"/>
      <c r="D58" s="4"/>
      <c r="H58" s="58">
        <f>H57/G57</f>
        <v>0.63636363636363635</v>
      </c>
      <c r="I58" s="70">
        <f>I57/G57</f>
        <v>0.36363636363636365</v>
      </c>
      <c r="J58" s="151"/>
      <c r="K58" s="151"/>
    </row>
  </sheetData>
  <mergeCells count="23">
    <mergeCell ref="G37:H37"/>
    <mergeCell ref="G38:H38"/>
    <mergeCell ref="G48:H48"/>
    <mergeCell ref="G39:H39"/>
    <mergeCell ref="G40:H40"/>
    <mergeCell ref="G41:H41"/>
    <mergeCell ref="G47:H47"/>
    <mergeCell ref="G46:H46"/>
    <mergeCell ref="G42:H42"/>
    <mergeCell ref="G43:H43"/>
    <mergeCell ref="G44:H44"/>
    <mergeCell ref="G45:H45"/>
    <mergeCell ref="F1:K1"/>
    <mergeCell ref="F2:K2"/>
    <mergeCell ref="H4:H5"/>
    <mergeCell ref="I4:I5"/>
    <mergeCell ref="J4:J5"/>
    <mergeCell ref="K4:K5"/>
    <mergeCell ref="B4:B5"/>
    <mergeCell ref="D4:D5"/>
    <mergeCell ref="F4:F5"/>
    <mergeCell ref="G4:G5"/>
    <mergeCell ref="C4:C5"/>
  </mergeCells>
  <conditionalFormatting sqref="D4">
    <cfRule type="duplicateValues" dxfId="5" priority="2"/>
  </conditionalFormatting>
  <conditionalFormatting sqref="F4">
    <cfRule type="duplicateValues" dxfId="4" priority="5"/>
  </conditionalFormatting>
  <conditionalFormatting sqref="F7:F20">
    <cfRule type="duplicateValues" dxfId="3" priority="1"/>
  </conditionalFormatting>
  <conditionalFormatting sqref="F20">
    <cfRule type="duplicateValues" dxfId="2" priority="6"/>
  </conditionalFormatting>
  <conditionalFormatting sqref="F38:F47">
    <cfRule type="duplicateValues" dxfId="1" priority="3"/>
  </conditionalFormatting>
  <printOptions horizontalCentered="1"/>
  <pageMargins left="0.27559055118110198" right="0.15748031496063" top="0.47244094488188998" bottom="0.39370078740157499" header="0.31496062992126" footer="0.31496062992126"/>
  <pageSetup paperSize="9" scale="84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NAD!$C$5:$C$10</xm:f>
          </x14:formula1>
          <xm:sqref>C7:C20</xm:sqref>
        </x14:dataValidation>
        <x14:dataValidation type="list" allowBlank="1" showInputMessage="1" showErrorMessage="1" xr:uid="{00000000-0002-0000-0A00-000001000000}">
          <x14:formula1>
            <xm:f>NAD!$D$5:$D$16</xm:f>
          </x14:formula1>
          <xm:sqref>D7:D20</xm:sqref>
        </x14:dataValidation>
        <x14:dataValidation type="list" allowBlank="1" showInputMessage="1" showErrorMessage="1" xr:uid="{B6CFDD70-E3C9-455D-A508-BBFDFE0A2D18}">
          <x14:formula1>
            <xm:f>NAD!$B$5:$B$13</xm:f>
          </x14:formula1>
          <xm:sqref>B7:B20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U29"/>
  <sheetViews>
    <sheetView showGridLines="0" zoomScale="80" zoomScaleNormal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O18" sqref="O18"/>
    </sheetView>
  </sheetViews>
  <sheetFormatPr defaultColWidth="8.7109375" defaultRowHeight="20.100000000000001" customHeight="1"/>
  <cols>
    <col min="1" max="1" width="1.85546875" style="4" customWidth="1"/>
    <col min="2" max="2" width="29.7109375" style="2" bestFit="1" customWidth="1"/>
    <col min="3" max="3" width="31.42578125" style="2" customWidth="1"/>
    <col min="4" max="9" width="11.85546875" style="2" customWidth="1"/>
    <col min="10" max="10" width="11.85546875" style="5" customWidth="1"/>
    <col min="11" max="11" width="15.5703125" style="5" customWidth="1"/>
    <col min="12" max="12" width="8.28515625" style="6" customWidth="1"/>
    <col min="13" max="13" width="3.7109375" style="4" customWidth="1"/>
    <col min="14" max="14" width="11.85546875" style="5" customWidth="1"/>
    <col min="15" max="15" width="15.5703125" style="5" customWidth="1"/>
    <col min="16" max="16" width="8.28515625" style="6" customWidth="1"/>
    <col min="17" max="17" width="8.7109375" style="4"/>
    <col min="18" max="18" width="5.140625" style="211" customWidth="1"/>
    <col min="19" max="19" width="21.42578125" style="28" bestFit="1" customWidth="1"/>
    <col min="22" max="16384" width="8.7109375" style="4"/>
  </cols>
  <sheetData>
    <row r="1" spans="2:19" s="1" customFormat="1" ht="30" customHeight="1">
      <c r="B1" s="254" t="s">
        <v>366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R1" s="210"/>
    </row>
    <row r="3" spans="2:19" s="2" customFormat="1" ht="20.100000000000001" customHeight="1">
      <c r="B3" s="241" t="s">
        <v>259</v>
      </c>
      <c r="C3" s="240" t="s">
        <v>260</v>
      </c>
      <c r="D3" s="259" t="s">
        <v>7</v>
      </c>
      <c r="E3" s="259" t="s">
        <v>13</v>
      </c>
      <c r="F3" s="259" t="s">
        <v>19</v>
      </c>
      <c r="G3" s="259" t="s">
        <v>21</v>
      </c>
      <c r="H3" s="262" t="s">
        <v>261</v>
      </c>
      <c r="I3" s="262" t="s">
        <v>262</v>
      </c>
      <c r="J3" s="247" t="s">
        <v>263</v>
      </c>
      <c r="K3" s="250" t="s">
        <v>276</v>
      </c>
      <c r="L3" s="251"/>
      <c r="N3" s="247" t="s">
        <v>23</v>
      </c>
      <c r="O3" s="250" t="s">
        <v>277</v>
      </c>
      <c r="P3" s="251"/>
      <c r="R3" s="208"/>
    </row>
    <row r="4" spans="2:19" s="2" customFormat="1" ht="20.100000000000001" customHeight="1">
      <c r="B4" s="242"/>
      <c r="C4" s="240"/>
      <c r="D4" s="260"/>
      <c r="E4" s="260"/>
      <c r="F4" s="260"/>
      <c r="G4" s="260"/>
      <c r="H4" s="263"/>
      <c r="I4" s="263"/>
      <c r="J4" s="248"/>
      <c r="K4" s="252"/>
      <c r="L4" s="253"/>
      <c r="N4" s="248"/>
      <c r="O4" s="252"/>
      <c r="P4" s="253"/>
      <c r="R4" s="208"/>
    </row>
    <row r="5" spans="2:19" s="2" customFormat="1" ht="20.100000000000001" customHeight="1">
      <c r="B5" s="243"/>
      <c r="C5" s="240"/>
      <c r="D5" s="261"/>
      <c r="E5" s="261"/>
      <c r="F5" s="261"/>
      <c r="G5" s="261"/>
      <c r="H5" s="264"/>
      <c r="I5" s="264"/>
      <c r="J5" s="249"/>
      <c r="K5" s="19" t="s">
        <v>5</v>
      </c>
      <c r="L5" s="20" t="s">
        <v>264</v>
      </c>
      <c r="N5" s="249"/>
      <c r="O5" s="19" t="s">
        <v>5</v>
      </c>
      <c r="P5" s="20" t="s">
        <v>264</v>
      </c>
      <c r="R5" s="208"/>
    </row>
    <row r="6" spans="2:19" ht="20.100000000000001" customHeight="1">
      <c r="B6" s="8" t="str">
        <f>'DKI 1'!F29</f>
        <v>BCO DKI 1</v>
      </c>
      <c r="C6" s="9" t="str">
        <f>'DKI 1'!H29</f>
        <v>RIALDI AGUSTIAN</v>
      </c>
      <c r="D6" s="10">
        <f>'DKI 1'!$I$38</f>
        <v>595000000</v>
      </c>
      <c r="E6" s="10">
        <f>'DKI 1'!$I$39</f>
        <v>370000000</v>
      </c>
      <c r="F6" s="10">
        <f>'DKI 1'!$I$40</f>
        <v>110000000</v>
      </c>
      <c r="G6" s="10">
        <f>'DKI 1'!$I$41</f>
        <v>60000000</v>
      </c>
      <c r="H6" s="10">
        <f>'DKI 1'!$I$42</f>
        <v>0</v>
      </c>
      <c r="I6" s="10">
        <f>'DKI 1'!$I$43</f>
        <v>65000000</v>
      </c>
      <c r="J6" s="10">
        <f>'DKI 1'!$I$46</f>
        <v>0</v>
      </c>
      <c r="K6" s="12">
        <f t="shared" ref="K6:K16" si="0">SUM(D6:J6)</f>
        <v>1200000000</v>
      </c>
      <c r="L6" s="14">
        <f t="shared" ref="L6:L17" si="1">K6/$K$17</f>
        <v>0.15</v>
      </c>
      <c r="N6" s="140">
        <f>'DKI 1'!J29/3</f>
        <v>116333333.33333333</v>
      </c>
      <c r="O6" s="12">
        <f t="shared" ref="O6:O16" si="2">K6+N6</f>
        <v>1316333333.3333333</v>
      </c>
      <c r="P6" s="14">
        <f t="shared" ref="P6:P17" si="3">O6/$O$17</f>
        <v>0.13838175000876057</v>
      </c>
      <c r="R6" s="211" t="s">
        <v>7</v>
      </c>
      <c r="S6" s="206">
        <v>4700000000</v>
      </c>
    </row>
    <row r="7" spans="2:19" ht="20.100000000000001" customHeight="1">
      <c r="B7" s="8" t="str">
        <f>'DKI 2'!F27</f>
        <v>BCO DKI 2</v>
      </c>
      <c r="C7" s="9" t="str">
        <f>'DKI 2'!H27</f>
        <v>M. IQBAL GAFFAR</v>
      </c>
      <c r="D7" s="10">
        <f>'DKI 2'!$I$36</f>
        <v>300000000</v>
      </c>
      <c r="E7" s="10">
        <f>'DKI 2'!$I$37</f>
        <v>287500000</v>
      </c>
      <c r="F7" s="10">
        <f>'DKI 2'!$I$38</f>
        <v>60000000</v>
      </c>
      <c r="G7" s="10">
        <f>'DKI 2'!$I$39</f>
        <v>100000000</v>
      </c>
      <c r="H7" s="10">
        <f>'DKI 2'!$I$40</f>
        <v>150000000</v>
      </c>
      <c r="I7" s="10">
        <f>'DKI 2'!$I$41</f>
        <v>0</v>
      </c>
      <c r="J7" s="10">
        <f>'DKI 2'!$I$44</f>
        <v>52500000</v>
      </c>
      <c r="K7" s="12">
        <f t="shared" si="0"/>
        <v>950000000</v>
      </c>
      <c r="L7" s="14">
        <f t="shared" si="1"/>
        <v>0.11874999999999999</v>
      </c>
      <c r="N7" s="140">
        <f>'DKI 2'!J27/3</f>
        <v>116333333.33333333</v>
      </c>
      <c r="O7" s="12">
        <f t="shared" si="2"/>
        <v>1066333333.3333334</v>
      </c>
      <c r="P7" s="14">
        <f t="shared" si="3"/>
        <v>0.11210008059711955</v>
      </c>
      <c r="R7" s="211" t="s">
        <v>13</v>
      </c>
      <c r="S7" s="206">
        <v>1800000000</v>
      </c>
    </row>
    <row r="8" spans="2:19" ht="20.100000000000001" customHeight="1">
      <c r="B8" s="8" t="str">
        <f>JABAR!F27</f>
        <v>BCO JABAR</v>
      </c>
      <c r="C8" s="9" t="str">
        <f>JABAR!H27</f>
        <v>ALEK IRUN SETIARUN</v>
      </c>
      <c r="D8" s="10">
        <f>JABAR!$I$38</f>
        <v>180000000</v>
      </c>
      <c r="E8" s="10">
        <f>JABAR!$I$39</f>
        <v>165000000</v>
      </c>
      <c r="F8" s="10">
        <f>JABAR!$I$40</f>
        <v>20000000</v>
      </c>
      <c r="G8" s="10">
        <f>JABAR!$I$41</f>
        <v>50000000</v>
      </c>
      <c r="H8" s="10">
        <f>JABAR!$I$42</f>
        <v>135000000</v>
      </c>
      <c r="I8" s="10">
        <f>JABAR!$I$43</f>
        <v>0</v>
      </c>
      <c r="J8" s="10">
        <f>JABAR!$I$46</f>
        <v>0</v>
      </c>
      <c r="K8" s="12">
        <f t="shared" si="0"/>
        <v>550000000</v>
      </c>
      <c r="L8" s="14">
        <f t="shared" si="1"/>
        <v>6.8750000000000006E-2</v>
      </c>
      <c r="N8" s="140">
        <f>JABAR!J27/3</f>
        <v>116333333.33333333</v>
      </c>
      <c r="O8" s="12">
        <f t="shared" si="2"/>
        <v>666333333.33333337</v>
      </c>
      <c r="P8" s="14">
        <f t="shared" si="3"/>
        <v>7.0049409538493895E-2</v>
      </c>
      <c r="R8" s="211" t="s">
        <v>19</v>
      </c>
      <c r="S8" s="206">
        <v>500000000</v>
      </c>
    </row>
    <row r="9" spans="2:19" ht="20.100000000000001" customHeight="1">
      <c r="B9" s="8" t="str">
        <f>JATENG!F30</f>
        <v>BCO JATENG</v>
      </c>
      <c r="C9" s="9" t="str">
        <f>JATENG!H30</f>
        <v>KUSNADI SOETARDJO</v>
      </c>
      <c r="D9" s="219">
        <f>JATENG!$I$38</f>
        <v>805000000</v>
      </c>
      <c r="E9" s="10">
        <f>JATENG!$I$39</f>
        <v>215000000</v>
      </c>
      <c r="F9" s="10">
        <f>JATENG!$I$40</f>
        <v>75000000</v>
      </c>
      <c r="G9" s="10">
        <f>JATENG!$I$41</f>
        <v>75000000</v>
      </c>
      <c r="H9" s="10">
        <f>JATENG!$I$42</f>
        <v>80000000</v>
      </c>
      <c r="I9" s="10">
        <f>JATENG!$I$43</f>
        <v>0</v>
      </c>
      <c r="J9" s="10">
        <f>JATENG!$I$46</f>
        <v>0</v>
      </c>
      <c r="K9" s="12">
        <f t="shared" si="0"/>
        <v>1250000000</v>
      </c>
      <c r="L9" s="14">
        <f t="shared" si="1"/>
        <v>0.15625</v>
      </c>
      <c r="N9" s="140">
        <f>JATENG!J30/3</f>
        <v>116333333.33333333</v>
      </c>
      <c r="O9" s="12">
        <f t="shared" si="2"/>
        <v>1366333333.3333333</v>
      </c>
      <c r="P9" s="14">
        <f t="shared" si="3"/>
        <v>0.14363808389108879</v>
      </c>
      <c r="R9" s="211" t="s">
        <v>21</v>
      </c>
      <c r="S9" s="206">
        <v>500000000</v>
      </c>
    </row>
    <row r="10" spans="2:19" ht="20.100000000000001" customHeight="1">
      <c r="B10" s="8" t="str">
        <f>JATIM!F34</f>
        <v>BCO JATIM</v>
      </c>
      <c r="C10" s="9" t="str">
        <f>JATIM!H34</f>
        <v>MARTINUS DENNY TERSIANTO</v>
      </c>
      <c r="D10" s="10">
        <f>JATIM!$I$38</f>
        <v>595000000</v>
      </c>
      <c r="E10" s="10">
        <f>JATIM!$I$39</f>
        <v>215000000</v>
      </c>
      <c r="F10" s="10">
        <f>JATIM!$I$40</f>
        <v>60000000</v>
      </c>
      <c r="G10" s="10">
        <f>JATIM!$I$41</f>
        <v>130000000</v>
      </c>
      <c r="H10" s="10">
        <f>JATIM!$I$42</f>
        <v>0</v>
      </c>
      <c r="I10" s="10">
        <f>JATIM!$I$43</f>
        <v>0</v>
      </c>
      <c r="J10" s="10">
        <f>JATIM!$I$46</f>
        <v>0</v>
      </c>
      <c r="K10" s="12">
        <f t="shared" si="0"/>
        <v>1000000000</v>
      </c>
      <c r="L10" s="14">
        <f t="shared" si="1"/>
        <v>0.125</v>
      </c>
      <c r="N10" s="140">
        <f>JATIM!J34/3</f>
        <v>232666666.66666666</v>
      </c>
      <c r="O10" s="12">
        <f t="shared" si="2"/>
        <v>1232666666.6666667</v>
      </c>
      <c r="P10" s="14">
        <f t="shared" si="3"/>
        <v>0.12958615131233139</v>
      </c>
      <c r="S10" s="207">
        <f>SUM(S6:S9)</f>
        <v>7500000000</v>
      </c>
    </row>
    <row r="11" spans="2:19" ht="20.100000000000001" customHeight="1">
      <c r="B11" s="8" t="str">
        <f>BALINUS!F19</f>
        <v>SUB BCO BALI NUSRA</v>
      </c>
      <c r="C11" s="9" t="str">
        <f>BALINUS!H19</f>
        <v>HENDRY KURNIAWAN</v>
      </c>
      <c r="D11" s="10">
        <f>BALINUS!$I$38</f>
        <v>130000000</v>
      </c>
      <c r="E11" s="10">
        <f>BALINUS!$I$39</f>
        <v>60000000</v>
      </c>
      <c r="F11" s="10">
        <f>BALINUS!$I$40</f>
        <v>25000000</v>
      </c>
      <c r="G11" s="10">
        <f>BALINUS!$I$41</f>
        <v>100000000</v>
      </c>
      <c r="H11" s="10">
        <f>BALINUS!$I$42</f>
        <v>0</v>
      </c>
      <c r="I11" s="10">
        <f>BALINUS!$I$43</f>
        <v>0</v>
      </c>
      <c r="J11" s="10">
        <f>BALINUS!$I$46</f>
        <v>110000000</v>
      </c>
      <c r="K11" s="12">
        <f t="shared" si="0"/>
        <v>425000000</v>
      </c>
      <c r="L11" s="14">
        <f t="shared" si="1"/>
        <v>5.3124999999999999E-2</v>
      </c>
      <c r="N11" s="140">
        <f>BALINUS!J19/3</f>
        <v>116333333.33333333</v>
      </c>
      <c r="O11" s="12">
        <f t="shared" si="2"/>
        <v>541333333.33333337</v>
      </c>
      <c r="P11" s="14">
        <f t="shared" si="3"/>
        <v>5.6908574832673385E-2</v>
      </c>
    </row>
    <row r="12" spans="2:19" ht="20.100000000000001" customHeight="1">
      <c r="B12" s="8" t="str">
        <f>SUMBAGSEL!F24</f>
        <v>SUB BCO SUMBAGSEL</v>
      </c>
      <c r="C12" s="9" t="str">
        <f>SUMBAGSEL!H24</f>
        <v>PENDI GUNAWAN THANG</v>
      </c>
      <c r="D12" s="10">
        <f>SUMBAGSEL!$I$38</f>
        <v>235000000</v>
      </c>
      <c r="E12" s="10">
        <f>SUMBAGSEL!$I$39</f>
        <v>120000000</v>
      </c>
      <c r="F12" s="10">
        <f>SUMBAGSEL!$I$40</f>
        <v>60000000</v>
      </c>
      <c r="G12" s="10">
        <f>SUMBAGSEL!$I$41</f>
        <v>30000000</v>
      </c>
      <c r="H12" s="10">
        <f>SUMBAGSEL!$I$42</f>
        <v>0</v>
      </c>
      <c r="I12" s="10">
        <f>SUMBAGSEL!$I$43</f>
        <v>40000000</v>
      </c>
      <c r="J12" s="10">
        <f>SUMBAGSEL!$I$46</f>
        <v>65000000</v>
      </c>
      <c r="K12" s="12">
        <f t="shared" si="0"/>
        <v>550000000</v>
      </c>
      <c r="L12" s="14">
        <f t="shared" si="1"/>
        <v>6.8750000000000006E-2</v>
      </c>
      <c r="N12" s="140">
        <f>SUMBAGSEL!J24/3</f>
        <v>116333333.33333333</v>
      </c>
      <c r="O12" s="12">
        <f t="shared" si="2"/>
        <v>666333333.33333337</v>
      </c>
      <c r="P12" s="14">
        <f t="shared" si="3"/>
        <v>7.0049409538493895E-2</v>
      </c>
      <c r="R12" s="211" t="s">
        <v>23</v>
      </c>
      <c r="S12" s="206">
        <v>1200000000</v>
      </c>
    </row>
    <row r="13" spans="2:19" ht="20.100000000000001" customHeight="1">
      <c r="B13" s="8" t="str">
        <f>SUMBARI!F21</f>
        <v>SUB BCO SUMBARI</v>
      </c>
      <c r="C13" s="9" t="str">
        <f>SUMBARI!H21</f>
        <v>NUR ABDUL HAQ</v>
      </c>
      <c r="D13" s="10">
        <f>SUMBARI!$I$38</f>
        <v>0</v>
      </c>
      <c r="E13" s="10">
        <f>SUMBARI!$I$39</f>
        <v>0</v>
      </c>
      <c r="F13" s="10">
        <f>SUMBARI!$I$40</f>
        <v>30000000</v>
      </c>
      <c r="G13" s="10">
        <f>SUMBARI!$I$41</f>
        <v>55000000</v>
      </c>
      <c r="H13" s="10">
        <f>SUMBARI!$I$42</f>
        <v>225000000</v>
      </c>
      <c r="I13" s="10">
        <f>SUMBARI!$I$43</f>
        <v>25000000</v>
      </c>
      <c r="J13" s="10">
        <f>SUMBARI!$I$46</f>
        <v>65000000</v>
      </c>
      <c r="K13" s="12">
        <f t="shared" si="0"/>
        <v>400000000</v>
      </c>
      <c r="L13" s="14">
        <f t="shared" si="1"/>
        <v>0.05</v>
      </c>
      <c r="N13" s="140">
        <f>SUMBARI!J21/3</f>
        <v>116333333.33333333</v>
      </c>
      <c r="O13" s="12">
        <f t="shared" si="2"/>
        <v>516333333.33333331</v>
      </c>
      <c r="P13" s="14">
        <f t="shared" si="3"/>
        <v>5.4280407891509272E-2</v>
      </c>
      <c r="S13" s="207">
        <f>S10+S12</f>
        <v>8700000000</v>
      </c>
    </row>
    <row r="14" spans="2:19" ht="20.100000000000001" customHeight="1">
      <c r="B14" s="8" t="str">
        <f>'SUMUT ACEH'!F29</f>
        <v>BCO SUMUT ACEH</v>
      </c>
      <c r="C14" s="9" t="str">
        <f>'SUMUT ACEH'!H29</f>
        <v>KURNIAWAN</v>
      </c>
      <c r="D14" s="10">
        <f>'SUMUT ACEH'!$I$38</f>
        <v>425000000</v>
      </c>
      <c r="E14" s="10">
        <f>'SUMUT ACEH'!$I$39</f>
        <v>120000000</v>
      </c>
      <c r="F14" s="10">
        <f>'SUMUT ACEH'!$I$40</f>
        <v>90000000</v>
      </c>
      <c r="G14" s="10">
        <f>'SUMUT ACEH'!$I$41</f>
        <v>50000000</v>
      </c>
      <c r="H14" s="10">
        <f>'SUMUT ACEH'!$I$42</f>
        <v>215000000</v>
      </c>
      <c r="I14" s="10">
        <f>'SUMUT ACEH'!$I$43</f>
        <v>0</v>
      </c>
      <c r="J14" s="10">
        <f>'SUMUT ACEH'!$I$46</f>
        <v>0</v>
      </c>
      <c r="K14" s="12">
        <f t="shared" si="0"/>
        <v>900000000</v>
      </c>
      <c r="L14" s="14">
        <f t="shared" si="1"/>
        <v>0.1125</v>
      </c>
      <c r="N14" s="140">
        <f>'SUMUT ACEH'!J29/3</f>
        <v>116333333.33333333</v>
      </c>
      <c r="O14" s="12">
        <f t="shared" si="2"/>
        <v>1016333333.3333334</v>
      </c>
      <c r="P14" s="14">
        <f t="shared" si="3"/>
        <v>0.10684374671479134</v>
      </c>
    </row>
    <row r="15" spans="2:19" ht="20.100000000000001" customHeight="1">
      <c r="B15" s="8" t="str">
        <f>SULAWESI!F21</f>
        <v>BCO SULAWESI</v>
      </c>
      <c r="C15" s="9" t="str">
        <f>SULAWESI!H21</f>
        <v>GERALDUS YOMAREKA PUTRAKA</v>
      </c>
      <c r="D15" s="10">
        <f>SULAWESI!$I$24</f>
        <v>145000000</v>
      </c>
      <c r="E15" s="10">
        <f>SULAWESI!$I$25</f>
        <v>70000000</v>
      </c>
      <c r="F15" s="10">
        <f>SULAWESI!$I$26</f>
        <v>30000000</v>
      </c>
      <c r="G15" s="10">
        <f>SULAWESI!$I$27</f>
        <v>50000000</v>
      </c>
      <c r="H15" s="10">
        <f>SULAWESI!$I$28</f>
        <v>0</v>
      </c>
      <c r="I15" s="10">
        <f>SULAWESI!$I$29</f>
        <v>0</v>
      </c>
      <c r="J15" s="10">
        <f>SULAWESI!$I$32</f>
        <v>155000000</v>
      </c>
      <c r="K15" s="12">
        <f t="shared" si="0"/>
        <v>450000000</v>
      </c>
      <c r="L15" s="14">
        <f t="shared" si="1"/>
        <v>5.6250000000000001E-2</v>
      </c>
      <c r="N15" s="140">
        <f>SULAWESI!J21/3</f>
        <v>116333333.33333333</v>
      </c>
      <c r="O15" s="12">
        <f t="shared" si="2"/>
        <v>566333333.33333337</v>
      </c>
      <c r="P15" s="14">
        <f t="shared" si="3"/>
        <v>5.9536741773837484E-2</v>
      </c>
    </row>
    <row r="16" spans="2:19" ht="20.100000000000001" customHeight="1">
      <c r="B16" s="8" t="str">
        <f>KALIMANTAN!F20</f>
        <v>SUB BCO KALIMANTAN</v>
      </c>
      <c r="C16" s="9" t="str">
        <f>KALIMANTAN!H20</f>
        <v>RINI RUSTIYAWATI</v>
      </c>
      <c r="D16" s="10">
        <f>KALIMANTAN!$I$38</f>
        <v>0</v>
      </c>
      <c r="E16" s="10">
        <f>KALIMANTAN!$I$39</f>
        <v>0</v>
      </c>
      <c r="F16" s="10">
        <f>KALIMANTAN!$I$40</f>
        <v>75000000</v>
      </c>
      <c r="G16" s="10">
        <f>KALIMANTAN!$I$41</f>
        <v>65000000</v>
      </c>
      <c r="H16" s="10">
        <f>KALIMANTAN!$I$42</f>
        <v>185000000</v>
      </c>
      <c r="I16" s="10">
        <f>KALIMANTAN!$I$43</f>
        <v>0</v>
      </c>
      <c r="J16" s="10">
        <f>KALIMANTAN!$I$46</f>
        <v>0</v>
      </c>
      <c r="K16" s="12">
        <f t="shared" si="0"/>
        <v>325000000</v>
      </c>
      <c r="L16" s="14">
        <f t="shared" si="1"/>
        <v>4.0625000000000001E-2</v>
      </c>
      <c r="N16" s="140">
        <f>KALIMANTAN!J20/3</f>
        <v>232666666.66666666</v>
      </c>
      <c r="O16" s="12">
        <f t="shared" si="2"/>
        <v>557666666.66666663</v>
      </c>
      <c r="P16" s="14">
        <f t="shared" si="3"/>
        <v>5.8625643900900588E-2</v>
      </c>
      <c r="S16" s="212">
        <f>S13-O17</f>
        <v>-812333333.33333206</v>
      </c>
    </row>
    <row r="17" spans="2:20" ht="60" customHeight="1">
      <c r="B17" s="11" t="s">
        <v>265</v>
      </c>
      <c r="C17" s="7" t="s">
        <v>266</v>
      </c>
      <c r="D17" s="12">
        <f t="shared" ref="D17:K17" si="4">SUM(D6:D16)</f>
        <v>3410000000</v>
      </c>
      <c r="E17" s="12">
        <f t="shared" si="4"/>
        <v>1622500000</v>
      </c>
      <c r="F17" s="12">
        <f t="shared" si="4"/>
        <v>635000000</v>
      </c>
      <c r="G17" s="12">
        <f t="shared" si="4"/>
        <v>765000000</v>
      </c>
      <c r="H17" s="12">
        <f t="shared" si="4"/>
        <v>990000000</v>
      </c>
      <c r="I17" s="12">
        <f t="shared" si="4"/>
        <v>130000000</v>
      </c>
      <c r="J17" s="12">
        <f t="shared" si="4"/>
        <v>447500000</v>
      </c>
      <c r="K17" s="12">
        <f t="shared" si="4"/>
        <v>8000000000</v>
      </c>
      <c r="L17" s="14">
        <f t="shared" si="1"/>
        <v>1</v>
      </c>
      <c r="N17" s="12">
        <f>SUM(N6:N16)</f>
        <v>1512333333.3333335</v>
      </c>
      <c r="O17" s="12">
        <f>SUM(O6:O16)</f>
        <v>9512333333.3333321</v>
      </c>
      <c r="P17" s="14">
        <f t="shared" si="3"/>
        <v>1</v>
      </c>
      <c r="T17" s="28"/>
    </row>
    <row r="18" spans="2:20" s="3" customFormat="1" ht="20.100000000000001" customHeight="1">
      <c r="D18" s="13">
        <f t="shared" ref="D18:J18" si="5">D17/$K$17</f>
        <v>0.42625000000000002</v>
      </c>
      <c r="E18" s="13">
        <f t="shared" si="5"/>
        <v>0.20281250000000001</v>
      </c>
      <c r="F18" s="13">
        <f t="shared" si="5"/>
        <v>7.9375000000000001E-2</v>
      </c>
      <c r="G18" s="13">
        <f t="shared" si="5"/>
        <v>9.5625000000000002E-2</v>
      </c>
      <c r="H18" s="13">
        <f t="shared" si="5"/>
        <v>0.12375</v>
      </c>
      <c r="I18" s="13">
        <f t="shared" si="5"/>
        <v>1.6250000000000001E-2</v>
      </c>
      <c r="J18" s="13">
        <f t="shared" si="5"/>
        <v>5.5937500000000001E-2</v>
      </c>
      <c r="K18" s="5"/>
      <c r="L18" s="6"/>
      <c r="N18" s="13">
        <f>N17/O17</f>
        <v>0.15898657882748715</v>
      </c>
      <c r="O18" s="5"/>
      <c r="P18" s="6"/>
      <c r="R18" s="209"/>
    </row>
    <row r="19" spans="2:20" ht="20.100000000000001" customHeight="1">
      <c r="C19" s="213"/>
      <c r="D19" s="204"/>
      <c r="E19" s="204"/>
      <c r="F19" s="204"/>
      <c r="G19" s="204"/>
      <c r="H19" s="204"/>
      <c r="I19" s="204"/>
      <c r="J19" s="204"/>
      <c r="K19" s="215"/>
      <c r="N19" s="214"/>
      <c r="O19" s="215"/>
    </row>
    <row r="21" spans="2:20" s="2" customFormat="1" ht="20.100000000000001" customHeight="1">
      <c r="B21" s="241" t="s">
        <v>267</v>
      </c>
      <c r="C21" s="255"/>
      <c r="D21" s="262" t="s">
        <v>56</v>
      </c>
      <c r="F21" s="257" t="s">
        <v>267</v>
      </c>
      <c r="G21" s="258"/>
      <c r="I21" s="238" t="s">
        <v>267</v>
      </c>
      <c r="J21" s="239"/>
      <c r="L21" s="6"/>
      <c r="P21" s="6"/>
      <c r="R21" s="208"/>
    </row>
    <row r="22" spans="2:20" s="2" customFormat="1" ht="20.100000000000001" customHeight="1">
      <c r="B22" s="243"/>
      <c r="C22" s="256"/>
      <c r="D22" s="261"/>
      <c r="F22" s="7" t="s">
        <v>57</v>
      </c>
      <c r="G22" s="14" t="s">
        <v>264</v>
      </c>
      <c r="I22" s="21" t="s">
        <v>58</v>
      </c>
      <c r="J22" s="22" t="s">
        <v>264</v>
      </c>
      <c r="L22" s="6"/>
      <c r="P22" s="6"/>
      <c r="R22" s="208"/>
    </row>
    <row r="23" spans="2:20" ht="20.100000000000001" customHeight="1">
      <c r="B23" s="244" t="s">
        <v>278</v>
      </c>
      <c r="C23" s="244"/>
      <c r="D23" s="15">
        <f>'DKI 1'!G51+'DKI 2'!G49+JABAR!G51+JATENG!G51+JATIM!G51+BALINUS!G51+SUMBAGSEL!G51+SUMBARI!G51+'SUMUT ACEH'!G51+SULAWESI!G37+KALIMANTAN!G51</f>
        <v>87</v>
      </c>
      <c r="F23" s="16">
        <f>'DKI 1'!H51+'DKI 2'!H49+JABAR!H51+JATENG!H51+JATIM!H51+BALINUS!H51+SUMBAGSEL!H51+SUMBARI!H51+'SUMUT ACEH'!H51+SULAWESI!H37+KALIMANTAN!H51</f>
        <v>66</v>
      </c>
      <c r="G23" s="17">
        <f t="shared" ref="G23:G29" si="6">F23/D23</f>
        <v>0.75862068965517238</v>
      </c>
      <c r="I23" s="23">
        <f t="shared" ref="I23:I28" si="7">D23-F23</f>
        <v>21</v>
      </c>
      <c r="J23" s="24">
        <f t="shared" ref="J23:J29" si="8">I23/D23</f>
        <v>0.2413793103448276</v>
      </c>
      <c r="N23" s="2"/>
      <c r="O23" s="2"/>
    </row>
    <row r="24" spans="2:20" ht="20.100000000000001" customHeight="1">
      <c r="B24" s="245" t="s">
        <v>279</v>
      </c>
      <c r="C24" s="246"/>
      <c r="D24" s="15">
        <f>'DKI 1'!G52+'DKI 2'!G50+JABAR!G52+JATENG!G52+JATIM!G52+BALINUS!G52+SUMBAGSEL!G52+SUMBARI!G52+'SUMUT ACEH'!G52+SULAWESI!G38+KALIMANTAN!G52</f>
        <v>4</v>
      </c>
      <c r="F24" s="16">
        <f>'DKI 1'!H52+'DKI 2'!H50+JABAR!H52+JATENG!H52+JATIM!H52+BALINUS!H52+SUMBAGSEL!H52+SUMBARI!H52+'SUMUT ACEH'!H52+SULAWESI!H38+KALIMANTAN!H52</f>
        <v>1</v>
      </c>
      <c r="G24" s="17">
        <f t="shared" si="6"/>
        <v>0.25</v>
      </c>
      <c r="I24" s="23">
        <f t="shared" si="7"/>
        <v>3</v>
      </c>
      <c r="J24" s="24">
        <f t="shared" si="8"/>
        <v>0.75</v>
      </c>
      <c r="N24" s="2"/>
      <c r="O24" s="2"/>
    </row>
    <row r="25" spans="2:20" ht="20.100000000000001" customHeight="1">
      <c r="B25" s="245" t="s">
        <v>280</v>
      </c>
      <c r="C25" s="246"/>
      <c r="D25" s="15">
        <f>'DKI 1'!G53+'DKI 2'!G51+JABAR!G53+JATENG!G53+JATIM!G53+BALINUS!G53+SUMBAGSEL!G53+SUMBARI!G53+'SUMUT ACEH'!G53+SULAWESI!G39+KALIMANTAN!G53</f>
        <v>8</v>
      </c>
      <c r="F25" s="16">
        <f>'DKI 1'!H53+'DKI 2'!H51+JABAR!H53+JATENG!H53+JATIM!H53+BALINUS!H53+SUMBAGSEL!H53+SUMBARI!H53+'SUMUT ACEH'!H53+SULAWESI!H39+KALIMANTAN!H53</f>
        <v>4</v>
      </c>
      <c r="G25" s="17">
        <f t="shared" si="6"/>
        <v>0.5</v>
      </c>
      <c r="I25" s="23">
        <f t="shared" si="7"/>
        <v>4</v>
      </c>
      <c r="J25" s="24">
        <f t="shared" si="8"/>
        <v>0.5</v>
      </c>
      <c r="N25" s="2"/>
      <c r="O25" s="2"/>
    </row>
    <row r="26" spans="2:20" ht="20.100000000000001" customHeight="1">
      <c r="B26" s="245" t="s">
        <v>281</v>
      </c>
      <c r="C26" s="246"/>
      <c r="D26" s="15">
        <f>'DKI 1'!G54+'DKI 2'!G52+JABAR!G54+JATENG!G54+JATIM!G54+BALINUS!G54+SUMBAGSEL!G54+SUMBARI!G54+'SUMUT ACEH'!G54+SULAWESI!G40+KALIMANTAN!G54</f>
        <v>34</v>
      </c>
      <c r="F26" s="16">
        <f>'DKI 1'!H54+'DKI 2'!H52+JABAR!H54+JATENG!H54+JATIM!H54+BALINUS!H54+SUMBAGSEL!H54+SUMBARI!H54+'SUMUT ACEH'!H54+SULAWESI!H40+KALIMANTAN!H54</f>
        <v>23</v>
      </c>
      <c r="G26" s="17">
        <f t="shared" si="6"/>
        <v>0.67647058823529416</v>
      </c>
      <c r="I26" s="23">
        <f t="shared" si="7"/>
        <v>11</v>
      </c>
      <c r="J26" s="24">
        <f t="shared" si="8"/>
        <v>0.3235294117647059</v>
      </c>
      <c r="N26" s="2"/>
      <c r="O26" s="2"/>
    </row>
    <row r="27" spans="2:20" ht="20.100000000000001" customHeight="1">
      <c r="B27" s="244" t="s">
        <v>282</v>
      </c>
      <c r="C27" s="244"/>
      <c r="D27" s="15">
        <f>'DKI 1'!G55+'DKI 2'!G53+JABAR!G55+JATENG!G55+JATIM!G55+BALINUS!G55+SUMBAGSEL!G55+SUMBARI!G55+'SUMUT ACEH'!G55+SULAWESI!G41+KALIMANTAN!G55</f>
        <v>6</v>
      </c>
      <c r="F27" s="16">
        <f>'DKI 1'!H55+'DKI 2'!H53+JABAR!H55+JATENG!H55+JATIM!H55+BALINUS!H55+SUMBAGSEL!H55+SUMBARI!H55+'SUMUT ACEH'!H55+SULAWESI!H41+KALIMANTAN!H55</f>
        <v>4</v>
      </c>
      <c r="G27" s="17">
        <f t="shared" si="6"/>
        <v>0.66666666666666663</v>
      </c>
      <c r="I27" s="23">
        <f t="shared" si="7"/>
        <v>2</v>
      </c>
      <c r="J27" s="24">
        <f t="shared" si="8"/>
        <v>0.33333333333333331</v>
      </c>
      <c r="N27" s="2"/>
      <c r="O27" s="2"/>
    </row>
    <row r="28" spans="2:20" ht="20.100000000000001" customHeight="1">
      <c r="B28" s="244" t="s">
        <v>283</v>
      </c>
      <c r="C28" s="244"/>
      <c r="D28" s="15">
        <f>'DKI 1'!G56+'DKI 2'!G54+JABAR!G56+JATENG!G56+JATIM!G56+BALINUS!G56+SUMBAGSEL!G56+SUMBARI!G56+'SUMUT ACEH'!G56+SULAWESI!G42+KALIMANTAN!G56</f>
        <v>11</v>
      </c>
      <c r="F28" s="16">
        <f>'DKI 1'!H56+'DKI 2'!H54+JABAR!H56+JATENG!H56+JATIM!H56+BALINUS!H56+SUMBAGSEL!H56+SUMBARI!H56+'SUMUT ACEH'!H56+SULAWESI!H42+KALIMANTAN!H56</f>
        <v>11</v>
      </c>
      <c r="G28" s="17">
        <f t="shared" si="6"/>
        <v>1</v>
      </c>
      <c r="I28" s="23">
        <f t="shared" si="7"/>
        <v>0</v>
      </c>
      <c r="J28" s="24">
        <f t="shared" si="8"/>
        <v>0</v>
      </c>
      <c r="N28" s="2"/>
      <c r="O28" s="2"/>
    </row>
    <row r="29" spans="2:20" ht="20.100000000000001" customHeight="1">
      <c r="B29" s="240" t="s">
        <v>268</v>
      </c>
      <c r="C29" s="240"/>
      <c r="D29" s="18">
        <f>SUM(D23:D28)</f>
        <v>150</v>
      </c>
      <c r="F29" s="18">
        <f>SUM(F23:F28)</f>
        <v>109</v>
      </c>
      <c r="G29" s="14">
        <f t="shared" si="6"/>
        <v>0.72666666666666668</v>
      </c>
      <c r="I29" s="25">
        <f>SUM(I23:I28)</f>
        <v>41</v>
      </c>
      <c r="J29" s="22">
        <f t="shared" si="8"/>
        <v>0.27333333333333332</v>
      </c>
      <c r="N29" s="2"/>
      <c r="O29" s="2"/>
    </row>
  </sheetData>
  <mergeCells count="24">
    <mergeCell ref="N3:N5"/>
    <mergeCell ref="O3:P4"/>
    <mergeCell ref="B1:P1"/>
    <mergeCell ref="B21:C22"/>
    <mergeCell ref="B25:C25"/>
    <mergeCell ref="B24:C24"/>
    <mergeCell ref="K3:L4"/>
    <mergeCell ref="F21:G21"/>
    <mergeCell ref="D3:D5"/>
    <mergeCell ref="D21:D22"/>
    <mergeCell ref="E3:E5"/>
    <mergeCell ref="F3:F5"/>
    <mergeCell ref="G3:G5"/>
    <mergeCell ref="H3:H5"/>
    <mergeCell ref="I3:I5"/>
    <mergeCell ref="J3:J5"/>
    <mergeCell ref="I21:J21"/>
    <mergeCell ref="B29:C29"/>
    <mergeCell ref="B3:B5"/>
    <mergeCell ref="C3:C5"/>
    <mergeCell ref="B23:C23"/>
    <mergeCell ref="B26:C26"/>
    <mergeCell ref="B27:C27"/>
    <mergeCell ref="B28:C28"/>
  </mergeCells>
  <pageMargins left="0.27" right="0.15" top="0.75" bottom="0.75" header="0.3" footer="0.3"/>
  <pageSetup paperSize="9" scale="64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6761-E7D9-40D0-9E01-E336A5DBE8A2}">
  <dimension ref="B2:D19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P13" sqref="P13"/>
    </sheetView>
  </sheetViews>
  <sheetFormatPr defaultColWidth="8.7109375" defaultRowHeight="18" customHeight="1"/>
  <cols>
    <col min="1" max="1" width="8.7109375" style="192"/>
    <col min="2" max="2" width="22.5703125" style="191" bestFit="1" customWidth="1"/>
    <col min="3" max="3" width="12.140625" style="191" customWidth="1"/>
    <col min="4" max="4" width="19.85546875" style="191" customWidth="1"/>
    <col min="5" max="16384" width="8.7109375" style="192"/>
  </cols>
  <sheetData>
    <row r="2" spans="2:4" ht="18" customHeight="1">
      <c r="B2" s="266" t="s">
        <v>308</v>
      </c>
      <c r="C2" s="266"/>
      <c r="D2" s="266"/>
    </row>
    <row r="3" spans="2:4" ht="18" customHeight="1">
      <c r="B3" s="265" t="s">
        <v>0</v>
      </c>
      <c r="C3" s="265" t="s">
        <v>296</v>
      </c>
      <c r="D3" s="265" t="s">
        <v>1</v>
      </c>
    </row>
    <row r="4" spans="2:4" ht="18" customHeight="1">
      <c r="B4" s="265"/>
      <c r="C4" s="265"/>
      <c r="D4" s="265"/>
    </row>
    <row r="5" spans="2:4" ht="18" customHeight="1">
      <c r="B5" s="194" t="s">
        <v>7</v>
      </c>
      <c r="C5" s="194" t="s">
        <v>7</v>
      </c>
      <c r="D5" s="194" t="s">
        <v>8</v>
      </c>
    </row>
    <row r="6" spans="2:4" ht="18" customHeight="1">
      <c r="B6" s="194" t="s">
        <v>13</v>
      </c>
      <c r="C6" s="194" t="s">
        <v>13</v>
      </c>
      <c r="D6" s="194" t="s">
        <v>14</v>
      </c>
    </row>
    <row r="7" spans="2:4" ht="18" customHeight="1">
      <c r="B7" s="194" t="s">
        <v>19</v>
      </c>
      <c r="C7" s="194" t="s">
        <v>19</v>
      </c>
      <c r="D7" s="194" t="s">
        <v>269</v>
      </c>
    </row>
    <row r="8" spans="2:4" ht="18" customHeight="1">
      <c r="B8" s="194" t="s">
        <v>21</v>
      </c>
      <c r="C8" s="194" t="s">
        <v>21</v>
      </c>
      <c r="D8" s="194" t="s">
        <v>270</v>
      </c>
    </row>
    <row r="9" spans="2:4" ht="18" customHeight="1">
      <c r="B9" s="194" t="s">
        <v>23</v>
      </c>
      <c r="C9" s="194" t="s">
        <v>23</v>
      </c>
      <c r="D9" s="194" t="s">
        <v>20</v>
      </c>
    </row>
    <row r="10" spans="2:4" ht="18" customHeight="1">
      <c r="B10" s="194" t="s">
        <v>27</v>
      </c>
      <c r="C10" s="194" t="s">
        <v>52</v>
      </c>
      <c r="D10" s="194" t="s">
        <v>15</v>
      </c>
    </row>
    <row r="11" spans="2:4" ht="18" customHeight="1">
      <c r="B11" s="194" t="s">
        <v>26</v>
      </c>
      <c r="C11" s="194"/>
      <c r="D11" s="194" t="s">
        <v>271</v>
      </c>
    </row>
    <row r="12" spans="2:4" ht="18" customHeight="1">
      <c r="B12" s="194" t="s">
        <v>33</v>
      </c>
      <c r="C12" s="194"/>
      <c r="D12" s="194" t="s">
        <v>272</v>
      </c>
    </row>
    <row r="13" spans="2:4" ht="18" customHeight="1">
      <c r="B13" s="194" t="s">
        <v>30</v>
      </c>
      <c r="C13" s="194"/>
      <c r="D13" s="194" t="s">
        <v>24</v>
      </c>
    </row>
    <row r="14" spans="2:4" ht="18" customHeight="1">
      <c r="B14" s="194"/>
      <c r="C14" s="194"/>
      <c r="D14" s="194" t="s">
        <v>309</v>
      </c>
    </row>
    <row r="15" spans="2:4" ht="18" customHeight="1">
      <c r="B15" s="194"/>
      <c r="C15" s="194"/>
      <c r="D15" s="194" t="s">
        <v>31</v>
      </c>
    </row>
    <row r="16" spans="2:4" ht="18" customHeight="1">
      <c r="B16" s="194"/>
      <c r="C16" s="194"/>
      <c r="D16" s="194" t="s">
        <v>310</v>
      </c>
    </row>
    <row r="17" spans="2:3" ht="18" customHeight="1">
      <c r="B17" s="193"/>
      <c r="C17" s="193"/>
    </row>
    <row r="19" spans="2:3" ht="18" customHeight="1">
      <c r="B19" s="192"/>
    </row>
  </sheetData>
  <autoFilter ref="B4:E38" xr:uid="{E83D6761-E7D9-40D0-9E01-E336A5DBE8A2}"/>
  <mergeCells count="4">
    <mergeCell ref="D3:D4"/>
    <mergeCell ref="C3:C4"/>
    <mergeCell ref="B3:B4"/>
    <mergeCell ref="B2:D2"/>
  </mergeCells>
  <conditionalFormatting sqref="B20:B1048576 B1:B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DKI 1</vt:lpstr>
      <vt:lpstr>DKI 2</vt:lpstr>
      <vt:lpstr>JABAR</vt:lpstr>
      <vt:lpstr>JATENG</vt:lpstr>
      <vt:lpstr>JATIM</vt:lpstr>
      <vt:lpstr>BALINUS</vt:lpstr>
      <vt:lpstr>SUMBAGSEL</vt:lpstr>
      <vt:lpstr>SUMBARI</vt:lpstr>
      <vt:lpstr>SUMUT ACEH</vt:lpstr>
      <vt:lpstr>SULAWESI</vt:lpstr>
      <vt:lpstr>KALIMANTAN</vt:lpstr>
      <vt:lpstr>SUM</vt:lpstr>
      <vt:lpstr>NAD</vt:lpstr>
      <vt:lpstr>BALINUS!Print_Area</vt:lpstr>
      <vt:lpstr>'DKI 1'!Print_Area</vt:lpstr>
      <vt:lpstr>'DKI 2'!Print_Area</vt:lpstr>
      <vt:lpstr>JABAR!Print_Area</vt:lpstr>
      <vt:lpstr>JATENG!Print_Area</vt:lpstr>
      <vt:lpstr>JATIM!Print_Area</vt:lpstr>
      <vt:lpstr>KALIMANTAN!Print_Area</vt:lpstr>
      <vt:lpstr>SULAWESI!Print_Area</vt:lpstr>
      <vt:lpstr>SUM!Print_Area</vt:lpstr>
      <vt:lpstr>SUMBAGSEL!Print_Area</vt:lpstr>
      <vt:lpstr>SUMBARI!Print_Area</vt:lpstr>
      <vt:lpstr>'SUMUT ACEH'!Print_Area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Mazta_Farma</dc:creator>
  <cp:lastModifiedBy>MELINDA RUYATUL AULIA</cp:lastModifiedBy>
  <cp:lastPrinted>2024-11-04T01:55:18Z</cp:lastPrinted>
  <dcterms:created xsi:type="dcterms:W3CDTF">2023-12-20T01:53:00Z</dcterms:created>
  <dcterms:modified xsi:type="dcterms:W3CDTF">2025-02-04T02:49:27Z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161112DB0C3E46438C1BAFF3A2B06CD5_12</vt:lpwstr>
  </property>
  <property fmtid="{D5CDD505-2E9C-101B-9397-08002B2CF9AE}" pid="3" name="KSOProductBuildVer">
    <vt:lpwstr>1033-12.2.0.18283</vt:lpwstr>
  </property>
</Properties>
</file>